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vasyl\Desktop\1 Проект Exel\"/>
    </mc:Choice>
  </mc:AlternateContent>
  <xr:revisionPtr revIDLastSave="0" documentId="13_ncr:1_{0862E288-A07F-4ACE-847C-ED223ECDE55F}" xr6:coauthVersionLast="47" xr6:coauthVersionMax="47" xr10:uidLastSave="{00000000-0000-0000-0000-000000000000}"/>
  <bookViews>
    <workbookView xWindow="-108" yWindow="-108" windowWidth="23256" windowHeight="12576" firstSheet="2" activeTab="6" xr2:uid="{00000000-000D-0000-FFFF-FFFF00000000}"/>
  </bookViews>
  <sheets>
    <sheet name="Readme" sheetId="13" r:id="rId1"/>
    <sheet name="Change_Log" sheetId="14" r:id="rId2"/>
    <sheet name="Resource links" sheetId="12" r:id="rId3"/>
    <sheet name="Project clean data" sheetId="1" r:id="rId4"/>
    <sheet name="Weather_clean_data" sheetId="6" r:id="rId5"/>
    <sheet name="Calculations" sheetId="16" r:id="rId6"/>
    <sheet name="Performance Dashboard" sheetId="11" r:id="rId7"/>
  </sheets>
  <definedNames>
    <definedName name="_xlnm._FilterDatabase" localSheetId="3" hidden="1">'Project clean data'!$M$1:$M$246</definedName>
    <definedName name="Slicer_Is_Weekend_or_BH">#N/A</definedName>
    <definedName name="Slicer_Month_Filter">#N/A</definedName>
    <definedName name="Slicer_Year_Filt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6" l="1"/>
  <c r="B39" i="16"/>
  <c r="B35" i="16"/>
  <c r="B34" i="16"/>
  <c r="B41" i="16" s="1"/>
  <c r="C20" i="16"/>
  <c r="B20" i="16"/>
  <c r="A20" i="16"/>
  <c r="I9" i="1"/>
  <c r="I30" i="1"/>
  <c r="I128" i="1"/>
  <c r="I149" i="1"/>
  <c r="I188" i="1"/>
  <c r="I209" i="1"/>
  <c r="I2" i="1"/>
  <c r="E2" i="1"/>
  <c r="E9" i="1"/>
  <c r="E30" i="1"/>
  <c r="E128" i="1"/>
  <c r="E149" i="1"/>
  <c r="E188" i="1"/>
  <c r="E20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4" i="1"/>
  <c r="D245"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 i="1"/>
  <c r="B3" i="1"/>
  <c r="B4" i="1"/>
  <c r="B5" i="1"/>
  <c r="B6" i="1"/>
  <c r="B7" i="1"/>
  <c r="B8" i="1"/>
  <c r="B10" i="1"/>
  <c r="B11" i="1"/>
  <c r="B12" i="1"/>
  <c r="B13" i="1"/>
  <c r="B14" i="1"/>
  <c r="B15" i="1"/>
  <c r="B16" i="1"/>
  <c r="B17" i="1"/>
  <c r="B18" i="1"/>
  <c r="B19" i="1"/>
  <c r="B20" i="1"/>
  <c r="B21" i="1"/>
  <c r="B22" i="1"/>
  <c r="B23" i="1"/>
  <c r="B24" i="1"/>
  <c r="B25" i="1"/>
  <c r="B26" i="1"/>
  <c r="B27" i="1"/>
  <c r="B28" i="1"/>
  <c r="B29"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I110" i="1" s="1"/>
  <c r="B111" i="1"/>
  <c r="B112" i="1"/>
  <c r="B113" i="1"/>
  <c r="B114" i="1"/>
  <c r="I114" i="1" s="1"/>
  <c r="B115" i="1"/>
  <c r="B116" i="1"/>
  <c r="B117" i="1"/>
  <c r="B118" i="1"/>
  <c r="I118" i="1" s="1"/>
  <c r="B119" i="1"/>
  <c r="B120" i="1"/>
  <c r="B121" i="1"/>
  <c r="B122" i="1"/>
  <c r="I122" i="1" s="1"/>
  <c r="B123" i="1"/>
  <c r="B124" i="1"/>
  <c r="B125" i="1"/>
  <c r="B126" i="1"/>
  <c r="I126" i="1" s="1"/>
  <c r="B127" i="1"/>
  <c r="B129" i="1"/>
  <c r="B130" i="1"/>
  <c r="I130" i="1" s="1"/>
  <c r="B131" i="1"/>
  <c r="B132" i="1"/>
  <c r="B133" i="1"/>
  <c r="B134" i="1"/>
  <c r="I134" i="1" s="1"/>
  <c r="B135" i="1"/>
  <c r="B136" i="1"/>
  <c r="B137" i="1"/>
  <c r="B138" i="1"/>
  <c r="I138" i="1" s="1"/>
  <c r="B139" i="1"/>
  <c r="B140" i="1"/>
  <c r="B141" i="1"/>
  <c r="B142" i="1"/>
  <c r="I142" i="1" s="1"/>
  <c r="B143" i="1"/>
  <c r="B144" i="1"/>
  <c r="B145" i="1"/>
  <c r="B146" i="1"/>
  <c r="I146" i="1" s="1"/>
  <c r="B147" i="1"/>
  <c r="B148" i="1"/>
  <c r="B150" i="1"/>
  <c r="I150" i="1" s="1"/>
  <c r="B151" i="1"/>
  <c r="B152" i="1"/>
  <c r="B153" i="1"/>
  <c r="B154" i="1"/>
  <c r="I154" i="1" s="1"/>
  <c r="B155" i="1"/>
  <c r="B156" i="1"/>
  <c r="B157" i="1"/>
  <c r="B158" i="1"/>
  <c r="I158" i="1" s="1"/>
  <c r="B159" i="1"/>
  <c r="B160" i="1"/>
  <c r="B161" i="1"/>
  <c r="B162" i="1"/>
  <c r="I162" i="1" s="1"/>
  <c r="B163" i="1"/>
  <c r="B164" i="1"/>
  <c r="B165" i="1"/>
  <c r="B166" i="1"/>
  <c r="I166" i="1" s="1"/>
  <c r="B167" i="1"/>
  <c r="B168" i="1"/>
  <c r="B169" i="1"/>
  <c r="B170" i="1"/>
  <c r="I170" i="1" s="1"/>
  <c r="B171" i="1"/>
  <c r="B172" i="1"/>
  <c r="B173" i="1"/>
  <c r="B174" i="1"/>
  <c r="I174" i="1" s="1"/>
  <c r="B175" i="1"/>
  <c r="B176" i="1"/>
  <c r="B177" i="1"/>
  <c r="B178" i="1"/>
  <c r="I178" i="1" s="1"/>
  <c r="B179" i="1"/>
  <c r="B180" i="1"/>
  <c r="B181" i="1"/>
  <c r="B182" i="1"/>
  <c r="I182" i="1" s="1"/>
  <c r="B183" i="1"/>
  <c r="B184" i="1"/>
  <c r="B185" i="1"/>
  <c r="B186" i="1"/>
  <c r="I186" i="1" s="1"/>
  <c r="B187" i="1"/>
  <c r="B189" i="1"/>
  <c r="B190" i="1"/>
  <c r="I190" i="1" s="1"/>
  <c r="B191" i="1"/>
  <c r="B192" i="1"/>
  <c r="B193" i="1"/>
  <c r="B194" i="1"/>
  <c r="I194" i="1" s="1"/>
  <c r="B195" i="1"/>
  <c r="B196" i="1"/>
  <c r="B197" i="1"/>
  <c r="B198" i="1"/>
  <c r="I198" i="1" s="1"/>
  <c r="B199" i="1"/>
  <c r="B200" i="1"/>
  <c r="B201" i="1"/>
  <c r="B202" i="1"/>
  <c r="I202" i="1" s="1"/>
  <c r="B203" i="1"/>
  <c r="B204" i="1"/>
  <c r="B205" i="1"/>
  <c r="B206" i="1"/>
  <c r="I206" i="1" s="1"/>
  <c r="B207" i="1"/>
  <c r="B208" i="1"/>
  <c r="B210" i="1"/>
  <c r="I210" i="1" s="1"/>
  <c r="B211" i="1"/>
  <c r="B212" i="1"/>
  <c r="B213" i="1"/>
  <c r="B214" i="1"/>
  <c r="I214" i="1" s="1"/>
  <c r="B215" i="1"/>
  <c r="B216" i="1"/>
  <c r="B217" i="1"/>
  <c r="B218" i="1"/>
  <c r="I218" i="1" s="1"/>
  <c r="B219" i="1"/>
  <c r="B220" i="1"/>
  <c r="B221" i="1"/>
  <c r="B222" i="1"/>
  <c r="I222" i="1" s="1"/>
  <c r="B223" i="1"/>
  <c r="B224" i="1"/>
  <c r="B225" i="1"/>
  <c r="B226" i="1"/>
  <c r="I226" i="1" s="1"/>
  <c r="B227" i="1"/>
  <c r="B228" i="1"/>
  <c r="B229" i="1"/>
  <c r="B230" i="1"/>
  <c r="I230" i="1" s="1"/>
  <c r="B231" i="1"/>
  <c r="B232" i="1"/>
  <c r="B233" i="1"/>
  <c r="B234" i="1"/>
  <c r="I234" i="1" s="1"/>
  <c r="B235" i="1"/>
  <c r="B236" i="1"/>
  <c r="B237" i="1"/>
  <c r="B238" i="1"/>
  <c r="I238" i="1" s="1"/>
  <c r="B239" i="1"/>
  <c r="B240" i="1"/>
  <c r="B241" i="1"/>
  <c r="B242" i="1"/>
  <c r="I242" i="1" s="1"/>
  <c r="B243" i="1"/>
  <c r="B244" i="1"/>
  <c r="B245" i="1"/>
  <c r="I245" i="1" l="1"/>
  <c r="E245" i="1"/>
  <c r="I237" i="1"/>
  <c r="E237" i="1"/>
  <c r="F237" i="1" s="1"/>
  <c r="I221" i="1"/>
  <c r="E221" i="1"/>
  <c r="I208" i="1"/>
  <c r="J208" i="1" s="1"/>
  <c r="E208" i="1"/>
  <c r="F208" i="1" s="1"/>
  <c r="I196" i="1"/>
  <c r="E196" i="1"/>
  <c r="F196" i="1" s="1"/>
  <c r="I183" i="1"/>
  <c r="J183" i="1" s="1"/>
  <c r="E183" i="1"/>
  <c r="F183" i="1" s="1"/>
  <c r="I171" i="1"/>
  <c r="E171" i="1"/>
  <c r="I163" i="1"/>
  <c r="E163" i="1"/>
  <c r="F163" i="1" s="1"/>
  <c r="I151" i="1"/>
  <c r="E151" i="1"/>
  <c r="I125" i="1"/>
  <c r="J125" i="1" s="1"/>
  <c r="E125" i="1"/>
  <c r="F125" i="1" s="1"/>
  <c r="I89" i="1"/>
  <c r="E89" i="1"/>
  <c r="I77" i="1"/>
  <c r="J77" i="1" s="1"/>
  <c r="E77" i="1"/>
  <c r="F77" i="1" s="1"/>
  <c r="I65" i="1"/>
  <c r="E65" i="1"/>
  <c r="I57" i="1"/>
  <c r="J57" i="1" s="1"/>
  <c r="E57" i="1"/>
  <c r="F57" i="1" s="1"/>
  <c r="I45" i="1"/>
  <c r="E45" i="1"/>
  <c r="I33" i="1"/>
  <c r="J33" i="1" s="1"/>
  <c r="E33" i="1"/>
  <c r="F33" i="1" s="1"/>
  <c r="E24" i="1"/>
  <c r="I24" i="1"/>
  <c r="J24" i="1" s="1"/>
  <c r="I12" i="1"/>
  <c r="E12" i="1"/>
  <c r="F12" i="1" s="1"/>
  <c r="I240" i="1"/>
  <c r="E240" i="1"/>
  <c r="F240" i="1" s="1"/>
  <c r="I228" i="1"/>
  <c r="E228" i="1"/>
  <c r="F228" i="1" s="1"/>
  <c r="I216" i="1"/>
  <c r="E216" i="1"/>
  <c r="I203" i="1"/>
  <c r="E203" i="1"/>
  <c r="I129" i="1"/>
  <c r="E129" i="1"/>
  <c r="J238" i="1"/>
  <c r="K238" i="1" s="1"/>
  <c r="L238" i="1" s="1"/>
  <c r="J222" i="1"/>
  <c r="K222" i="1" s="1"/>
  <c r="L222" i="1" s="1"/>
  <c r="J210" i="1"/>
  <c r="J202" i="1"/>
  <c r="F202" i="1"/>
  <c r="J198" i="1"/>
  <c r="K198" i="1" s="1"/>
  <c r="L198" i="1" s="1"/>
  <c r="J194" i="1"/>
  <c r="J190" i="1"/>
  <c r="K190" i="1" s="1"/>
  <c r="L190" i="1" s="1"/>
  <c r="J186" i="1"/>
  <c r="K186" i="1" s="1"/>
  <c r="L186" i="1" s="1"/>
  <c r="J182" i="1"/>
  <c r="K182" i="1" s="1"/>
  <c r="L182" i="1" s="1"/>
  <c r="J178" i="1"/>
  <c r="J174" i="1"/>
  <c r="K174" i="1" s="1"/>
  <c r="L174" i="1" s="1"/>
  <c r="J170" i="1"/>
  <c r="K170" i="1" s="1"/>
  <c r="L170" i="1" s="1"/>
  <c r="J166" i="1"/>
  <c r="K166" i="1" s="1"/>
  <c r="L166" i="1" s="1"/>
  <c r="F166" i="1"/>
  <c r="J162" i="1"/>
  <c r="J158" i="1"/>
  <c r="K158" i="1" s="1"/>
  <c r="L158" i="1" s="1"/>
  <c r="J154" i="1"/>
  <c r="K154" i="1" s="1"/>
  <c r="L154" i="1" s="1"/>
  <c r="J150" i="1"/>
  <c r="K150" i="1" s="1"/>
  <c r="L150" i="1" s="1"/>
  <c r="F150" i="1"/>
  <c r="J146" i="1"/>
  <c r="K146" i="1" s="1"/>
  <c r="L146" i="1" s="1"/>
  <c r="J142" i="1"/>
  <c r="K142" i="1" s="1"/>
  <c r="L142" i="1" s="1"/>
  <c r="J138" i="1"/>
  <c r="K138" i="1" s="1"/>
  <c r="L138" i="1" s="1"/>
  <c r="J134" i="1"/>
  <c r="J130" i="1"/>
  <c r="J126" i="1"/>
  <c r="K126" i="1" s="1"/>
  <c r="L126" i="1" s="1"/>
  <c r="J122" i="1"/>
  <c r="J118" i="1"/>
  <c r="K118" i="1" s="1"/>
  <c r="L118" i="1" s="1"/>
  <c r="J114" i="1"/>
  <c r="K114" i="1" s="1"/>
  <c r="L114" i="1" s="1"/>
  <c r="J110" i="1"/>
  <c r="K110" i="1" s="1"/>
  <c r="L110" i="1" s="1"/>
  <c r="J30" i="1"/>
  <c r="F30" i="1"/>
  <c r="J10" i="1"/>
  <c r="F10" i="1"/>
  <c r="E242" i="1"/>
  <c r="E226" i="1"/>
  <c r="F226" i="1" s="1"/>
  <c r="E210" i="1"/>
  <c r="E198" i="1"/>
  <c r="E186" i="1"/>
  <c r="F186" i="1" s="1"/>
  <c r="E170" i="1"/>
  <c r="E154" i="1"/>
  <c r="E142" i="1"/>
  <c r="E114" i="1"/>
  <c r="F114" i="1" s="1"/>
  <c r="I233" i="1"/>
  <c r="E233" i="1"/>
  <c r="F233" i="1" s="1"/>
  <c r="I225" i="1"/>
  <c r="J225" i="1" s="1"/>
  <c r="E225" i="1"/>
  <c r="I213" i="1"/>
  <c r="E213" i="1"/>
  <c r="E200" i="1"/>
  <c r="F200" i="1" s="1"/>
  <c r="I200" i="1"/>
  <c r="I187" i="1"/>
  <c r="E187" i="1"/>
  <c r="I175" i="1"/>
  <c r="J175" i="1" s="1"/>
  <c r="E175" i="1"/>
  <c r="I159" i="1"/>
  <c r="E159" i="1"/>
  <c r="F159" i="1" s="1"/>
  <c r="K130" i="1"/>
  <c r="L130" i="1" s="1"/>
  <c r="I121" i="1"/>
  <c r="E121" i="1"/>
  <c r="I113" i="1"/>
  <c r="J113" i="1" s="1"/>
  <c r="E113" i="1"/>
  <c r="F113" i="1" s="1"/>
  <c r="I105" i="1"/>
  <c r="E105" i="1"/>
  <c r="I97" i="1"/>
  <c r="J97" i="1" s="1"/>
  <c r="E97" i="1"/>
  <c r="F97" i="1" s="1"/>
  <c r="I85" i="1"/>
  <c r="E85" i="1"/>
  <c r="I73" i="1"/>
  <c r="J73" i="1" s="1"/>
  <c r="E73" i="1"/>
  <c r="F73" i="1" s="1"/>
  <c r="I61" i="1"/>
  <c r="E61" i="1"/>
  <c r="I49" i="1"/>
  <c r="E49" i="1"/>
  <c r="I37" i="1"/>
  <c r="E37" i="1"/>
  <c r="I16" i="1"/>
  <c r="J16" i="1" s="1"/>
  <c r="E16" i="1"/>
  <c r="F16" i="1" s="1"/>
  <c r="I244" i="1"/>
  <c r="E244" i="1"/>
  <c r="I232" i="1"/>
  <c r="J232" i="1" s="1"/>
  <c r="E232" i="1"/>
  <c r="F232" i="1" s="1"/>
  <c r="I220" i="1"/>
  <c r="E220" i="1"/>
  <c r="I207" i="1"/>
  <c r="J207" i="1" s="1"/>
  <c r="E207" i="1"/>
  <c r="F207" i="1" s="1"/>
  <c r="I195" i="1"/>
  <c r="E195" i="1"/>
  <c r="I191" i="1"/>
  <c r="J191" i="1" s="1"/>
  <c r="E191" i="1"/>
  <c r="F191" i="1" s="1"/>
  <c r="K178" i="1"/>
  <c r="L178" i="1" s="1"/>
  <c r="K162" i="1"/>
  <c r="L162" i="1" s="1"/>
  <c r="I141" i="1"/>
  <c r="J141" i="1" s="1"/>
  <c r="E141" i="1"/>
  <c r="I137" i="1"/>
  <c r="E137" i="1"/>
  <c r="I124" i="1"/>
  <c r="J124" i="1" s="1"/>
  <c r="E124" i="1"/>
  <c r="F124" i="1" s="1"/>
  <c r="E112" i="1"/>
  <c r="I112" i="1"/>
  <c r="J112" i="1" s="1"/>
  <c r="I104" i="1"/>
  <c r="J104" i="1" s="1"/>
  <c r="E104" i="1"/>
  <c r="F104" i="1" s="1"/>
  <c r="I88" i="1"/>
  <c r="E88" i="1"/>
  <c r="E68" i="1"/>
  <c r="F68" i="1" s="1"/>
  <c r="I68" i="1"/>
  <c r="J68" i="1" s="1"/>
  <c r="J242" i="1"/>
  <c r="F242" i="1"/>
  <c r="I5" i="1"/>
  <c r="J5" i="1" s="1"/>
  <c r="E5" i="1"/>
  <c r="J245" i="1"/>
  <c r="F245" i="1"/>
  <c r="J237" i="1"/>
  <c r="J233" i="1"/>
  <c r="F225" i="1"/>
  <c r="J221" i="1"/>
  <c r="F221" i="1"/>
  <c r="J217" i="1"/>
  <c r="F217" i="1"/>
  <c r="J213" i="1"/>
  <c r="J209" i="1"/>
  <c r="K209" i="1" s="1"/>
  <c r="L209" i="1" s="1"/>
  <c r="F209" i="1"/>
  <c r="G209" i="1" s="1"/>
  <c r="H209" i="1" s="1"/>
  <c r="J161" i="1"/>
  <c r="F161" i="1"/>
  <c r="J149" i="1"/>
  <c r="K149" i="1" s="1"/>
  <c r="L149" i="1" s="1"/>
  <c r="F149" i="1"/>
  <c r="G149" i="1" s="1"/>
  <c r="H149" i="1" s="1"/>
  <c r="J137" i="1"/>
  <c r="F137" i="1"/>
  <c r="J129" i="1"/>
  <c r="F129" i="1"/>
  <c r="J121" i="1"/>
  <c r="F121" i="1"/>
  <c r="J105" i="1"/>
  <c r="F105" i="1"/>
  <c r="J89" i="1"/>
  <c r="F89" i="1"/>
  <c r="J85" i="1"/>
  <c r="F85" i="1"/>
  <c r="J65" i="1"/>
  <c r="F65" i="1"/>
  <c r="J61" i="1"/>
  <c r="F61" i="1"/>
  <c r="J49" i="1"/>
  <c r="F49" i="1"/>
  <c r="J45" i="1"/>
  <c r="F45" i="1"/>
  <c r="J37" i="1"/>
  <c r="F37" i="1"/>
  <c r="J9" i="1"/>
  <c r="F9" i="1"/>
  <c r="G9" i="1" s="1"/>
  <c r="H9" i="1" s="1"/>
  <c r="E238" i="1"/>
  <c r="E222" i="1"/>
  <c r="E194" i="1"/>
  <c r="F194" i="1" s="1"/>
  <c r="E182" i="1"/>
  <c r="E166" i="1"/>
  <c r="G166" i="1" s="1"/>
  <c r="H166" i="1" s="1"/>
  <c r="E150" i="1"/>
  <c r="G150" i="1" s="1"/>
  <c r="H150" i="1" s="1"/>
  <c r="E138" i="1"/>
  <c r="F138" i="1" s="1"/>
  <c r="E126" i="1"/>
  <c r="E110" i="1"/>
  <c r="I241" i="1"/>
  <c r="J241" i="1" s="1"/>
  <c r="E241" i="1"/>
  <c r="F241" i="1" s="1"/>
  <c r="I229" i="1"/>
  <c r="E229" i="1"/>
  <c r="I217" i="1"/>
  <c r="E217" i="1"/>
  <c r="E204" i="1"/>
  <c r="F204" i="1" s="1"/>
  <c r="I204" i="1"/>
  <c r="J204" i="1" s="1"/>
  <c r="I192" i="1"/>
  <c r="J192" i="1" s="1"/>
  <c r="E192" i="1"/>
  <c r="F192" i="1" s="1"/>
  <c r="I179" i="1"/>
  <c r="J179" i="1" s="1"/>
  <c r="E179" i="1"/>
  <c r="F179" i="1" s="1"/>
  <c r="I167" i="1"/>
  <c r="J167" i="1" s="1"/>
  <c r="E167" i="1"/>
  <c r="F167" i="1" s="1"/>
  <c r="I155" i="1"/>
  <c r="J155" i="1" s="1"/>
  <c r="E155" i="1"/>
  <c r="F155" i="1" s="1"/>
  <c r="K134" i="1"/>
  <c r="L134" i="1" s="1"/>
  <c r="I117" i="1"/>
  <c r="E117" i="1"/>
  <c r="I109" i="1"/>
  <c r="E109" i="1"/>
  <c r="I101" i="1"/>
  <c r="E101" i="1"/>
  <c r="I93" i="1"/>
  <c r="E93" i="1"/>
  <c r="I81" i="1"/>
  <c r="E81" i="1"/>
  <c r="I69" i="1"/>
  <c r="E69" i="1"/>
  <c r="I53" i="1"/>
  <c r="E53" i="1"/>
  <c r="I41" i="1"/>
  <c r="J41" i="1" s="1"/>
  <c r="E41" i="1"/>
  <c r="F41" i="1" s="1"/>
  <c r="I28" i="1"/>
  <c r="J28" i="1" s="1"/>
  <c r="E28" i="1"/>
  <c r="F28" i="1" s="1"/>
  <c r="E20" i="1"/>
  <c r="F20" i="1" s="1"/>
  <c r="I20" i="1"/>
  <c r="J20" i="1" s="1"/>
  <c r="I7" i="1"/>
  <c r="J7" i="1" s="1"/>
  <c r="E7" i="1"/>
  <c r="F7" i="1" s="1"/>
  <c r="I236" i="1"/>
  <c r="E236" i="1"/>
  <c r="I224" i="1"/>
  <c r="J224" i="1" s="1"/>
  <c r="E224" i="1"/>
  <c r="F224" i="1" s="1"/>
  <c r="I212" i="1"/>
  <c r="J212" i="1" s="1"/>
  <c r="E212" i="1"/>
  <c r="F212" i="1" s="1"/>
  <c r="I199" i="1"/>
  <c r="J199" i="1" s="1"/>
  <c r="E199" i="1"/>
  <c r="F199" i="1" s="1"/>
  <c r="I145" i="1"/>
  <c r="E145" i="1"/>
  <c r="I133" i="1"/>
  <c r="E133" i="1"/>
  <c r="E120" i="1"/>
  <c r="F120" i="1" s="1"/>
  <c r="I120" i="1"/>
  <c r="J120" i="1" s="1"/>
  <c r="I116" i="1"/>
  <c r="J116" i="1" s="1"/>
  <c r="E116" i="1"/>
  <c r="I108" i="1"/>
  <c r="J108" i="1" s="1"/>
  <c r="E108" i="1"/>
  <c r="F108" i="1" s="1"/>
  <c r="E100" i="1"/>
  <c r="F100" i="1" s="1"/>
  <c r="I100" i="1"/>
  <c r="J100" i="1" s="1"/>
  <c r="E96" i="1"/>
  <c r="F96" i="1" s="1"/>
  <c r="I96" i="1"/>
  <c r="J96" i="1" s="1"/>
  <c r="I92" i="1"/>
  <c r="J92" i="1" s="1"/>
  <c r="E92" i="1"/>
  <c r="F92" i="1" s="1"/>
  <c r="E84" i="1"/>
  <c r="I84" i="1"/>
  <c r="E80" i="1"/>
  <c r="F80" i="1" s="1"/>
  <c r="I80" i="1"/>
  <c r="J80" i="1" s="1"/>
  <c r="I76" i="1"/>
  <c r="E76" i="1"/>
  <c r="F76" i="1" s="1"/>
  <c r="I72" i="1"/>
  <c r="J72" i="1" s="1"/>
  <c r="E72" i="1"/>
  <c r="F72" i="1" s="1"/>
  <c r="E64" i="1"/>
  <c r="I64" i="1"/>
  <c r="J64" i="1" s="1"/>
  <c r="I60" i="1"/>
  <c r="J60" i="1" s="1"/>
  <c r="E60" i="1"/>
  <c r="F60" i="1" s="1"/>
  <c r="I56" i="1"/>
  <c r="E56" i="1"/>
  <c r="F56" i="1" s="1"/>
  <c r="E52" i="1"/>
  <c r="I52" i="1"/>
  <c r="E48" i="1"/>
  <c r="F48" i="1" s="1"/>
  <c r="I48" i="1"/>
  <c r="J48" i="1" s="1"/>
  <c r="I44" i="1"/>
  <c r="E44" i="1"/>
  <c r="I40" i="1"/>
  <c r="J40" i="1" s="1"/>
  <c r="E40" i="1"/>
  <c r="F40" i="1" s="1"/>
  <c r="E36" i="1"/>
  <c r="F36" i="1" s="1"/>
  <c r="I36" i="1"/>
  <c r="J36" i="1" s="1"/>
  <c r="E32" i="1"/>
  <c r="I32" i="1"/>
  <c r="J32" i="1" s="1"/>
  <c r="I27" i="1"/>
  <c r="J27" i="1" s="1"/>
  <c r="E27" i="1"/>
  <c r="F27" i="1" s="1"/>
  <c r="I23" i="1"/>
  <c r="E23" i="1"/>
  <c r="F23" i="1" s="1"/>
  <c r="I19" i="1"/>
  <c r="J19" i="1" s="1"/>
  <c r="E19" i="1"/>
  <c r="F19" i="1" s="1"/>
  <c r="I15" i="1"/>
  <c r="E15" i="1"/>
  <c r="F15" i="1" s="1"/>
  <c r="I11" i="1"/>
  <c r="J11" i="1" s="1"/>
  <c r="E11" i="1"/>
  <c r="I6" i="1"/>
  <c r="J6" i="1" s="1"/>
  <c r="E6" i="1"/>
  <c r="J2" i="1"/>
  <c r="K2" i="1" s="1"/>
  <c r="L2" i="1" s="1"/>
  <c r="F2" i="1"/>
  <c r="G2" i="1" s="1"/>
  <c r="H2" i="1" s="1"/>
  <c r="J234" i="1"/>
  <c r="J230" i="1"/>
  <c r="K230" i="1" s="1"/>
  <c r="L230" i="1" s="1"/>
  <c r="J226" i="1"/>
  <c r="J218" i="1"/>
  <c r="K218" i="1" s="1"/>
  <c r="L218" i="1" s="1"/>
  <c r="J214" i="1"/>
  <c r="K214" i="1" s="1"/>
  <c r="L214" i="1" s="1"/>
  <c r="J206" i="1"/>
  <c r="K206" i="1" s="1"/>
  <c r="L206" i="1" s="1"/>
  <c r="E243" i="1"/>
  <c r="F243" i="1" s="1"/>
  <c r="I243" i="1"/>
  <c r="E239" i="1"/>
  <c r="F239" i="1" s="1"/>
  <c r="I239" i="1"/>
  <c r="J239" i="1" s="1"/>
  <c r="E235" i="1"/>
  <c r="I235" i="1"/>
  <c r="E231" i="1"/>
  <c r="F231" i="1" s="1"/>
  <c r="I231" i="1"/>
  <c r="J231" i="1" s="1"/>
  <c r="E227" i="1"/>
  <c r="F227" i="1" s="1"/>
  <c r="I227" i="1"/>
  <c r="E223" i="1"/>
  <c r="I223" i="1"/>
  <c r="E219" i="1"/>
  <c r="I219" i="1"/>
  <c r="E215" i="1"/>
  <c r="F215" i="1" s="1"/>
  <c r="I215" i="1"/>
  <c r="J215" i="1" s="1"/>
  <c r="I211" i="1"/>
  <c r="J211" i="1" s="1"/>
  <c r="E211" i="1"/>
  <c r="F211" i="1" s="1"/>
  <c r="K202" i="1"/>
  <c r="L202" i="1" s="1"/>
  <c r="K194" i="1"/>
  <c r="L194" i="1" s="1"/>
  <c r="I185" i="1"/>
  <c r="J185" i="1" s="1"/>
  <c r="E185" i="1"/>
  <c r="F185" i="1" s="1"/>
  <c r="I181" i="1"/>
  <c r="E181" i="1"/>
  <c r="F181" i="1" s="1"/>
  <c r="I177" i="1"/>
  <c r="J177" i="1" s="1"/>
  <c r="E177" i="1"/>
  <c r="F177" i="1" s="1"/>
  <c r="I173" i="1"/>
  <c r="E173" i="1"/>
  <c r="F173" i="1" s="1"/>
  <c r="I169" i="1"/>
  <c r="J169" i="1" s="1"/>
  <c r="E169" i="1"/>
  <c r="F169" i="1" s="1"/>
  <c r="I165" i="1"/>
  <c r="E165" i="1"/>
  <c r="F165" i="1" s="1"/>
  <c r="I161" i="1"/>
  <c r="K161" i="1" s="1"/>
  <c r="L161" i="1" s="1"/>
  <c r="E161" i="1"/>
  <c r="G161" i="1" s="1"/>
  <c r="H161" i="1" s="1"/>
  <c r="I157" i="1"/>
  <c r="E157" i="1"/>
  <c r="F157" i="1" s="1"/>
  <c r="I153" i="1"/>
  <c r="J153" i="1" s="1"/>
  <c r="E153" i="1"/>
  <c r="F153" i="1" s="1"/>
  <c r="I148" i="1"/>
  <c r="E148" i="1"/>
  <c r="F148" i="1" s="1"/>
  <c r="E144" i="1"/>
  <c r="F144" i="1" s="1"/>
  <c r="I144" i="1"/>
  <c r="J144" i="1" s="1"/>
  <c r="I140" i="1"/>
  <c r="J140" i="1" s="1"/>
  <c r="E140" i="1"/>
  <c r="F140" i="1" s="1"/>
  <c r="E136" i="1"/>
  <c r="F136" i="1" s="1"/>
  <c r="I136" i="1"/>
  <c r="J136" i="1" s="1"/>
  <c r="I132" i="1"/>
  <c r="J132" i="1" s="1"/>
  <c r="E132" i="1"/>
  <c r="F132" i="1" s="1"/>
  <c r="I127" i="1"/>
  <c r="J127" i="1" s="1"/>
  <c r="E127" i="1"/>
  <c r="F127" i="1" s="1"/>
  <c r="I123" i="1"/>
  <c r="J123" i="1" s="1"/>
  <c r="E123" i="1"/>
  <c r="F123" i="1" s="1"/>
  <c r="I119" i="1"/>
  <c r="J119" i="1" s="1"/>
  <c r="E119" i="1"/>
  <c r="F119" i="1" s="1"/>
  <c r="I115" i="1"/>
  <c r="J115" i="1" s="1"/>
  <c r="E115" i="1"/>
  <c r="F115" i="1" s="1"/>
  <c r="I111" i="1"/>
  <c r="J111" i="1" s="1"/>
  <c r="E111" i="1"/>
  <c r="F111" i="1" s="1"/>
  <c r="I107" i="1"/>
  <c r="E107" i="1"/>
  <c r="F107" i="1" s="1"/>
  <c r="I103" i="1"/>
  <c r="J103" i="1" s="1"/>
  <c r="E103" i="1"/>
  <c r="F103" i="1" s="1"/>
  <c r="I99" i="1"/>
  <c r="J99" i="1" s="1"/>
  <c r="E99" i="1"/>
  <c r="I95" i="1"/>
  <c r="J95" i="1" s="1"/>
  <c r="E95" i="1"/>
  <c r="F95" i="1" s="1"/>
  <c r="I91" i="1"/>
  <c r="J91" i="1" s="1"/>
  <c r="E91" i="1"/>
  <c r="F91" i="1" s="1"/>
  <c r="I87" i="1"/>
  <c r="J87" i="1" s="1"/>
  <c r="E87" i="1"/>
  <c r="F87" i="1" s="1"/>
  <c r="I83" i="1"/>
  <c r="J83" i="1" s="1"/>
  <c r="E83" i="1"/>
  <c r="F83" i="1" s="1"/>
  <c r="I79" i="1"/>
  <c r="J79" i="1" s="1"/>
  <c r="E79" i="1"/>
  <c r="F79" i="1" s="1"/>
  <c r="I75" i="1"/>
  <c r="J75" i="1" s="1"/>
  <c r="E75" i="1"/>
  <c r="I71" i="1"/>
  <c r="J71" i="1" s="1"/>
  <c r="E71" i="1"/>
  <c r="F71" i="1" s="1"/>
  <c r="I67" i="1"/>
  <c r="J67" i="1" s="1"/>
  <c r="E67" i="1"/>
  <c r="F67" i="1" s="1"/>
  <c r="I63" i="1"/>
  <c r="J63" i="1" s="1"/>
  <c r="E63" i="1"/>
  <c r="F63" i="1" s="1"/>
  <c r="I59" i="1"/>
  <c r="J59" i="1" s="1"/>
  <c r="E59" i="1"/>
  <c r="F59" i="1" s="1"/>
  <c r="I55" i="1"/>
  <c r="J55" i="1" s="1"/>
  <c r="E55" i="1"/>
  <c r="F55" i="1" s="1"/>
  <c r="I51" i="1"/>
  <c r="E51" i="1"/>
  <c r="F51" i="1" s="1"/>
  <c r="I47" i="1"/>
  <c r="J47" i="1" s="1"/>
  <c r="E47" i="1"/>
  <c r="F47" i="1" s="1"/>
  <c r="I43" i="1"/>
  <c r="E43" i="1"/>
  <c r="I39" i="1"/>
  <c r="J39" i="1" s="1"/>
  <c r="E39" i="1"/>
  <c r="F39" i="1" s="1"/>
  <c r="I35" i="1"/>
  <c r="J35" i="1" s="1"/>
  <c r="E35" i="1"/>
  <c r="F35" i="1" s="1"/>
  <c r="I31" i="1"/>
  <c r="J31" i="1" s="1"/>
  <c r="E31" i="1"/>
  <c r="I26" i="1"/>
  <c r="E26" i="1"/>
  <c r="F26" i="1" s="1"/>
  <c r="I22" i="1"/>
  <c r="J22" i="1" s="1"/>
  <c r="E22" i="1"/>
  <c r="I18" i="1"/>
  <c r="E18" i="1"/>
  <c r="F18" i="1" s="1"/>
  <c r="I14" i="1"/>
  <c r="J14" i="1" s="1"/>
  <c r="E14" i="1"/>
  <c r="I10" i="1"/>
  <c r="E10" i="1"/>
  <c r="K242" i="1"/>
  <c r="L242" i="1" s="1"/>
  <c r="K234" i="1"/>
  <c r="L234" i="1" s="1"/>
  <c r="K226" i="1"/>
  <c r="L226" i="1" s="1"/>
  <c r="K210" i="1"/>
  <c r="L210" i="1" s="1"/>
  <c r="E205" i="1"/>
  <c r="I205" i="1"/>
  <c r="I201" i="1"/>
  <c r="J201" i="1" s="1"/>
  <c r="E201" i="1"/>
  <c r="F201" i="1" s="1"/>
  <c r="I197" i="1"/>
  <c r="E197" i="1"/>
  <c r="I193" i="1"/>
  <c r="J193" i="1" s="1"/>
  <c r="E193" i="1"/>
  <c r="F193" i="1" s="1"/>
  <c r="E189" i="1"/>
  <c r="I189" i="1"/>
  <c r="I184" i="1"/>
  <c r="J184" i="1" s="1"/>
  <c r="E184" i="1"/>
  <c r="F184" i="1" s="1"/>
  <c r="E180" i="1"/>
  <c r="F180" i="1" s="1"/>
  <c r="I180" i="1"/>
  <c r="I176" i="1"/>
  <c r="J176" i="1" s="1"/>
  <c r="E176" i="1"/>
  <c r="F176" i="1" s="1"/>
  <c r="E172" i="1"/>
  <c r="F172" i="1" s="1"/>
  <c r="I172" i="1"/>
  <c r="I168" i="1"/>
  <c r="J168" i="1" s="1"/>
  <c r="E168" i="1"/>
  <c r="F168" i="1" s="1"/>
  <c r="E164" i="1"/>
  <c r="I164" i="1"/>
  <c r="I160" i="1"/>
  <c r="J160" i="1" s="1"/>
  <c r="E160" i="1"/>
  <c r="E156" i="1"/>
  <c r="F156" i="1" s="1"/>
  <c r="I156" i="1"/>
  <c r="I152" i="1"/>
  <c r="J152" i="1" s="1"/>
  <c r="E152" i="1"/>
  <c r="F152" i="1" s="1"/>
  <c r="I147" i="1"/>
  <c r="J147" i="1" s="1"/>
  <c r="E147" i="1"/>
  <c r="F147" i="1" s="1"/>
  <c r="I143" i="1"/>
  <c r="J143" i="1" s="1"/>
  <c r="E143" i="1"/>
  <c r="F143" i="1" s="1"/>
  <c r="I139" i="1"/>
  <c r="J139" i="1" s="1"/>
  <c r="E139" i="1"/>
  <c r="F139" i="1" s="1"/>
  <c r="I135" i="1"/>
  <c r="J135" i="1" s="1"/>
  <c r="E135" i="1"/>
  <c r="F135" i="1" s="1"/>
  <c r="I131" i="1"/>
  <c r="J131" i="1" s="1"/>
  <c r="E131" i="1"/>
  <c r="F131" i="1" s="1"/>
  <c r="K122" i="1"/>
  <c r="L122" i="1" s="1"/>
  <c r="I106" i="1"/>
  <c r="E106" i="1"/>
  <c r="I102" i="1"/>
  <c r="E102" i="1"/>
  <c r="I98" i="1"/>
  <c r="E98" i="1"/>
  <c r="I94" i="1"/>
  <c r="E94" i="1"/>
  <c r="I90" i="1"/>
  <c r="E90" i="1"/>
  <c r="I86" i="1"/>
  <c r="E86" i="1"/>
  <c r="I82" i="1"/>
  <c r="E82" i="1"/>
  <c r="I78" i="1"/>
  <c r="E78" i="1"/>
  <c r="I74" i="1"/>
  <c r="E74" i="1"/>
  <c r="I70" i="1"/>
  <c r="E70" i="1"/>
  <c r="I66" i="1"/>
  <c r="E66" i="1"/>
  <c r="I62" i="1"/>
  <c r="E62" i="1"/>
  <c r="I58" i="1"/>
  <c r="E58" i="1"/>
  <c r="I54" i="1"/>
  <c r="E54" i="1"/>
  <c r="I50" i="1"/>
  <c r="E50" i="1"/>
  <c r="I46" i="1"/>
  <c r="E46" i="1"/>
  <c r="I42" i="1"/>
  <c r="E42" i="1"/>
  <c r="I38" i="1"/>
  <c r="E38" i="1"/>
  <c r="I34" i="1"/>
  <c r="E34" i="1"/>
  <c r="I29" i="1"/>
  <c r="E29" i="1"/>
  <c r="F29" i="1" s="1"/>
  <c r="I25" i="1"/>
  <c r="J25" i="1" s="1"/>
  <c r="E25" i="1"/>
  <c r="F25" i="1" s="1"/>
  <c r="I21" i="1"/>
  <c r="E21" i="1"/>
  <c r="F21" i="1" s="1"/>
  <c r="I17" i="1"/>
  <c r="J17" i="1" s="1"/>
  <c r="E17" i="1"/>
  <c r="F17" i="1" s="1"/>
  <c r="I13" i="1"/>
  <c r="E13" i="1"/>
  <c r="F13" i="1" s="1"/>
  <c r="E8" i="1"/>
  <c r="F8" i="1" s="1"/>
  <c r="I8" i="1"/>
  <c r="J8" i="1" s="1"/>
  <c r="I4" i="1"/>
  <c r="E4" i="1"/>
  <c r="J244" i="1"/>
  <c r="F244" i="1"/>
  <c r="J240" i="1"/>
  <c r="J236" i="1"/>
  <c r="F236" i="1"/>
  <c r="J228" i="1"/>
  <c r="J220" i="1"/>
  <c r="F220" i="1"/>
  <c r="J216" i="1"/>
  <c r="F216" i="1"/>
  <c r="J200" i="1"/>
  <c r="J196" i="1"/>
  <c r="J188" i="1"/>
  <c r="K188" i="1" s="1"/>
  <c r="L188" i="1" s="1"/>
  <c r="F188" i="1"/>
  <c r="G188" i="1" s="1"/>
  <c r="H188" i="1" s="1"/>
  <c r="F164" i="1"/>
  <c r="F160" i="1"/>
  <c r="J148" i="1"/>
  <c r="J128" i="1"/>
  <c r="F128" i="1"/>
  <c r="G128" i="1" s="1"/>
  <c r="H128" i="1" s="1"/>
  <c r="F116" i="1"/>
  <c r="F112" i="1"/>
  <c r="J88" i="1"/>
  <c r="F88" i="1"/>
  <c r="J84" i="1"/>
  <c r="F84" i="1"/>
  <c r="J76" i="1"/>
  <c r="F64" i="1"/>
  <c r="J56" i="1"/>
  <c r="J52" i="1"/>
  <c r="F52" i="1"/>
  <c r="J44" i="1"/>
  <c r="F44" i="1"/>
  <c r="F32" i="1"/>
  <c r="F24" i="1"/>
  <c r="J12" i="1"/>
  <c r="F4" i="1"/>
  <c r="E234" i="1"/>
  <c r="E218" i="1"/>
  <c r="F218" i="1" s="1"/>
  <c r="E206" i="1"/>
  <c r="E190" i="1"/>
  <c r="E178" i="1"/>
  <c r="E162" i="1"/>
  <c r="F162" i="1" s="1"/>
  <c r="E134" i="1"/>
  <c r="E122" i="1"/>
  <c r="I3" i="1"/>
  <c r="E3" i="1"/>
  <c r="J243" i="1"/>
  <c r="F235" i="1"/>
  <c r="J235" i="1"/>
  <c r="J227" i="1"/>
  <c r="J223" i="1"/>
  <c r="F223" i="1"/>
  <c r="F219" i="1"/>
  <c r="J219" i="1"/>
  <c r="F203" i="1"/>
  <c r="J203" i="1"/>
  <c r="J195" i="1"/>
  <c r="F195" i="1"/>
  <c r="F187" i="1"/>
  <c r="J187" i="1"/>
  <c r="F175" i="1"/>
  <c r="F171" i="1"/>
  <c r="J171" i="1"/>
  <c r="J163" i="1"/>
  <c r="J159" i="1"/>
  <c r="F151" i="1"/>
  <c r="J151" i="1"/>
  <c r="J107" i="1"/>
  <c r="F99" i="1"/>
  <c r="F75" i="1"/>
  <c r="J51" i="1"/>
  <c r="F43" i="1"/>
  <c r="J43" i="1"/>
  <c r="F31" i="1"/>
  <c r="J23" i="1"/>
  <c r="J15" i="1"/>
  <c r="F11" i="1"/>
  <c r="F3" i="1"/>
  <c r="E230" i="1"/>
  <c r="E214" i="1"/>
  <c r="F214" i="1" s="1"/>
  <c r="E202" i="1"/>
  <c r="E174" i="1"/>
  <c r="E158" i="1"/>
  <c r="E146" i="1"/>
  <c r="F146" i="1" s="1"/>
  <c r="E130" i="1"/>
  <c r="F130" i="1" s="1"/>
  <c r="E118" i="1"/>
  <c r="G30" i="1"/>
  <c r="H30" i="1" s="1"/>
  <c r="K128" i="1"/>
  <c r="L128" i="1" s="1"/>
  <c r="K30" i="1"/>
  <c r="L30" i="1" s="1"/>
  <c r="K9" i="1"/>
  <c r="L9" i="1" s="1"/>
  <c r="K217" i="1" l="1"/>
  <c r="L217" i="1" s="1"/>
  <c r="G202" i="1"/>
  <c r="H202" i="1" s="1"/>
  <c r="K10" i="1"/>
  <c r="L10" i="1" s="1"/>
  <c r="G10" i="1"/>
  <c r="H10" i="1" s="1"/>
  <c r="G131" i="1"/>
  <c r="H131" i="1" s="1"/>
  <c r="G139" i="1"/>
  <c r="H139" i="1" s="1"/>
  <c r="G147" i="1"/>
  <c r="H147" i="1" s="1"/>
  <c r="K35" i="1"/>
  <c r="L35" i="1" s="1"/>
  <c r="K43" i="1"/>
  <c r="L43" i="1" s="1"/>
  <c r="K51" i="1"/>
  <c r="L51" i="1" s="1"/>
  <c r="K59" i="1"/>
  <c r="L59" i="1" s="1"/>
  <c r="K67" i="1"/>
  <c r="L67" i="1" s="1"/>
  <c r="K75" i="1"/>
  <c r="L75" i="1" s="1"/>
  <c r="K83" i="1"/>
  <c r="L83" i="1" s="1"/>
  <c r="K91" i="1"/>
  <c r="L91" i="1" s="1"/>
  <c r="K99" i="1"/>
  <c r="L99" i="1" s="1"/>
  <c r="K107" i="1"/>
  <c r="L107" i="1" s="1"/>
  <c r="K115" i="1"/>
  <c r="L115" i="1" s="1"/>
  <c r="K123" i="1"/>
  <c r="L123" i="1" s="1"/>
  <c r="K132" i="1"/>
  <c r="L132" i="1" s="1"/>
  <c r="K140" i="1"/>
  <c r="L140" i="1" s="1"/>
  <c r="K148" i="1"/>
  <c r="L148" i="1" s="1"/>
  <c r="G211" i="1"/>
  <c r="H211" i="1" s="1"/>
  <c r="K219" i="1"/>
  <c r="L219" i="1" s="1"/>
  <c r="K227" i="1"/>
  <c r="L227" i="1" s="1"/>
  <c r="K235" i="1"/>
  <c r="L235" i="1" s="1"/>
  <c r="K243" i="1"/>
  <c r="L243" i="1" s="1"/>
  <c r="F234" i="1"/>
  <c r="G234" i="1" s="1"/>
  <c r="H234" i="1" s="1"/>
  <c r="G15" i="1"/>
  <c r="H15" i="1" s="1"/>
  <c r="G23" i="1"/>
  <c r="H23" i="1" s="1"/>
  <c r="K32" i="1"/>
  <c r="L32" i="1" s="1"/>
  <c r="G40" i="1"/>
  <c r="H40" i="1" s="1"/>
  <c r="K48" i="1"/>
  <c r="L48" i="1" s="1"/>
  <c r="G56" i="1"/>
  <c r="H56" i="1" s="1"/>
  <c r="K64" i="1"/>
  <c r="L64" i="1" s="1"/>
  <c r="G76" i="1"/>
  <c r="H76" i="1" s="1"/>
  <c r="K84" i="1"/>
  <c r="L84" i="1" s="1"/>
  <c r="K96" i="1"/>
  <c r="L96" i="1" s="1"/>
  <c r="G108" i="1"/>
  <c r="H108" i="1" s="1"/>
  <c r="K120" i="1"/>
  <c r="L120" i="1" s="1"/>
  <c r="G199" i="1"/>
  <c r="H199" i="1" s="1"/>
  <c r="G224" i="1"/>
  <c r="H224" i="1" s="1"/>
  <c r="G7" i="1"/>
  <c r="H7" i="1" s="1"/>
  <c r="G28" i="1"/>
  <c r="H28" i="1" s="1"/>
  <c r="G155" i="1"/>
  <c r="H155" i="1" s="1"/>
  <c r="G179" i="1"/>
  <c r="H179" i="1" s="1"/>
  <c r="K204" i="1"/>
  <c r="L204" i="1" s="1"/>
  <c r="F81" i="1"/>
  <c r="G81" i="1" s="1"/>
  <c r="H81" i="1" s="1"/>
  <c r="F145" i="1"/>
  <c r="G145" i="1" s="1"/>
  <c r="H145" i="1" s="1"/>
  <c r="K68" i="1"/>
  <c r="L68" i="1" s="1"/>
  <c r="G104" i="1"/>
  <c r="H104" i="1" s="1"/>
  <c r="G124" i="1"/>
  <c r="H124" i="1" s="1"/>
  <c r="G195" i="1"/>
  <c r="H195" i="1" s="1"/>
  <c r="G220" i="1"/>
  <c r="H220" i="1" s="1"/>
  <c r="G244" i="1"/>
  <c r="H244" i="1" s="1"/>
  <c r="G37" i="1"/>
  <c r="H37" i="1" s="1"/>
  <c r="G61" i="1"/>
  <c r="H61" i="1" s="1"/>
  <c r="G85" i="1"/>
  <c r="H85" i="1" s="1"/>
  <c r="G105" i="1"/>
  <c r="H105" i="1" s="1"/>
  <c r="G121" i="1"/>
  <c r="H121" i="1" s="1"/>
  <c r="G159" i="1"/>
  <c r="H159" i="1" s="1"/>
  <c r="G187" i="1"/>
  <c r="H187" i="1" s="1"/>
  <c r="G233" i="1"/>
  <c r="H233" i="1" s="1"/>
  <c r="J38" i="1"/>
  <c r="K38" i="1" s="1"/>
  <c r="L38" i="1" s="1"/>
  <c r="J46" i="1"/>
  <c r="K46" i="1" s="1"/>
  <c r="L46" i="1" s="1"/>
  <c r="J54" i="1"/>
  <c r="K54" i="1" s="1"/>
  <c r="L54" i="1" s="1"/>
  <c r="J62" i="1"/>
  <c r="K62" i="1" s="1"/>
  <c r="L62" i="1" s="1"/>
  <c r="J70" i="1"/>
  <c r="K70" i="1" s="1"/>
  <c r="L70" i="1" s="1"/>
  <c r="J78" i="1"/>
  <c r="K78" i="1" s="1"/>
  <c r="L78" i="1" s="1"/>
  <c r="J86" i="1"/>
  <c r="K86" i="1" s="1"/>
  <c r="L86" i="1" s="1"/>
  <c r="J94" i="1"/>
  <c r="K94" i="1" s="1"/>
  <c r="L94" i="1" s="1"/>
  <c r="J102" i="1"/>
  <c r="K102" i="1" s="1"/>
  <c r="L102" i="1" s="1"/>
  <c r="K203" i="1"/>
  <c r="L203" i="1" s="1"/>
  <c r="K228" i="1"/>
  <c r="L228" i="1" s="1"/>
  <c r="K12" i="1"/>
  <c r="L12" i="1" s="1"/>
  <c r="K33" i="1"/>
  <c r="L33" i="1" s="1"/>
  <c r="K57" i="1"/>
  <c r="L57" i="1" s="1"/>
  <c r="K77" i="1"/>
  <c r="L77" i="1" s="1"/>
  <c r="K125" i="1"/>
  <c r="L125" i="1" s="1"/>
  <c r="G163" i="1"/>
  <c r="H163" i="1" s="1"/>
  <c r="G183" i="1"/>
  <c r="H183" i="1" s="1"/>
  <c r="G208" i="1"/>
  <c r="H208" i="1" s="1"/>
  <c r="G237" i="1"/>
  <c r="H237" i="1" s="1"/>
  <c r="K8" i="1"/>
  <c r="L8" i="1" s="1"/>
  <c r="G17" i="1"/>
  <c r="H17" i="1" s="1"/>
  <c r="G25" i="1"/>
  <c r="H25" i="1" s="1"/>
  <c r="K131" i="1"/>
  <c r="L131" i="1" s="1"/>
  <c r="K139" i="1"/>
  <c r="L139" i="1" s="1"/>
  <c r="K147" i="1"/>
  <c r="L147" i="1" s="1"/>
  <c r="G156" i="1"/>
  <c r="H156" i="1" s="1"/>
  <c r="G164" i="1"/>
  <c r="H164" i="1" s="1"/>
  <c r="G172" i="1"/>
  <c r="H172" i="1" s="1"/>
  <c r="G180" i="1"/>
  <c r="H180" i="1" s="1"/>
  <c r="G31" i="1"/>
  <c r="H31" i="1" s="1"/>
  <c r="G39" i="1"/>
  <c r="H39" i="1" s="1"/>
  <c r="G47" i="1"/>
  <c r="H47" i="1" s="1"/>
  <c r="G55" i="1"/>
  <c r="H55" i="1" s="1"/>
  <c r="G63" i="1"/>
  <c r="H63" i="1" s="1"/>
  <c r="G71" i="1"/>
  <c r="H71" i="1" s="1"/>
  <c r="G79" i="1"/>
  <c r="H79" i="1" s="1"/>
  <c r="G87" i="1"/>
  <c r="H87" i="1" s="1"/>
  <c r="G95" i="1"/>
  <c r="H95" i="1" s="1"/>
  <c r="G103" i="1"/>
  <c r="H103" i="1" s="1"/>
  <c r="G111" i="1"/>
  <c r="H111" i="1" s="1"/>
  <c r="G119" i="1"/>
  <c r="H119" i="1" s="1"/>
  <c r="G127" i="1"/>
  <c r="H127" i="1" s="1"/>
  <c r="K136" i="1"/>
  <c r="L136" i="1" s="1"/>
  <c r="K144" i="1"/>
  <c r="L144" i="1" s="1"/>
  <c r="G153" i="1"/>
  <c r="H153" i="1" s="1"/>
  <c r="G169" i="1"/>
  <c r="H169" i="1" s="1"/>
  <c r="G177" i="1"/>
  <c r="H177" i="1" s="1"/>
  <c r="G185" i="1"/>
  <c r="H185" i="1" s="1"/>
  <c r="K211" i="1"/>
  <c r="L211" i="1" s="1"/>
  <c r="G219" i="1"/>
  <c r="H219" i="1" s="1"/>
  <c r="G227" i="1"/>
  <c r="H227" i="1" s="1"/>
  <c r="G235" i="1"/>
  <c r="H235" i="1" s="1"/>
  <c r="G243" i="1"/>
  <c r="H243" i="1" s="1"/>
  <c r="K6" i="1"/>
  <c r="L6" i="1" s="1"/>
  <c r="K15" i="1"/>
  <c r="L15" i="1" s="1"/>
  <c r="K23" i="1"/>
  <c r="L23" i="1" s="1"/>
  <c r="G32" i="1"/>
  <c r="H32" i="1" s="1"/>
  <c r="K40" i="1"/>
  <c r="L40" i="1" s="1"/>
  <c r="G48" i="1"/>
  <c r="H48" i="1" s="1"/>
  <c r="K56" i="1"/>
  <c r="L56" i="1" s="1"/>
  <c r="G64" i="1"/>
  <c r="H64" i="1" s="1"/>
  <c r="K76" i="1"/>
  <c r="L76" i="1" s="1"/>
  <c r="G84" i="1"/>
  <c r="H84" i="1" s="1"/>
  <c r="G96" i="1"/>
  <c r="H96" i="1" s="1"/>
  <c r="K108" i="1"/>
  <c r="L108" i="1" s="1"/>
  <c r="G120" i="1"/>
  <c r="H120" i="1" s="1"/>
  <c r="K199" i="1"/>
  <c r="L199" i="1" s="1"/>
  <c r="K224" i="1"/>
  <c r="L224" i="1" s="1"/>
  <c r="K7" i="1"/>
  <c r="L7" i="1" s="1"/>
  <c r="K28" i="1"/>
  <c r="L28" i="1" s="1"/>
  <c r="K155" i="1"/>
  <c r="L155" i="1" s="1"/>
  <c r="K179" i="1"/>
  <c r="L179" i="1" s="1"/>
  <c r="G204" i="1"/>
  <c r="H204" i="1" s="1"/>
  <c r="J81" i="1"/>
  <c r="K81" i="1" s="1"/>
  <c r="L81" i="1" s="1"/>
  <c r="J145" i="1"/>
  <c r="K145" i="1" s="1"/>
  <c r="L145" i="1" s="1"/>
  <c r="K5" i="1"/>
  <c r="L5" i="1" s="1"/>
  <c r="G68" i="1"/>
  <c r="H68" i="1" s="1"/>
  <c r="K104" i="1"/>
  <c r="L104" i="1" s="1"/>
  <c r="K124" i="1"/>
  <c r="L124" i="1" s="1"/>
  <c r="K141" i="1"/>
  <c r="L141" i="1" s="1"/>
  <c r="K195" i="1"/>
  <c r="L195" i="1" s="1"/>
  <c r="K220" i="1"/>
  <c r="L220" i="1" s="1"/>
  <c r="K244" i="1"/>
  <c r="L244" i="1" s="1"/>
  <c r="K37" i="1"/>
  <c r="L37" i="1" s="1"/>
  <c r="K61" i="1"/>
  <c r="L61" i="1" s="1"/>
  <c r="K85" i="1"/>
  <c r="L85" i="1" s="1"/>
  <c r="K105" i="1"/>
  <c r="L105" i="1" s="1"/>
  <c r="K121" i="1"/>
  <c r="L121" i="1" s="1"/>
  <c r="K159" i="1"/>
  <c r="L159" i="1" s="1"/>
  <c r="K187" i="1"/>
  <c r="L187" i="1" s="1"/>
  <c r="K213" i="1"/>
  <c r="L213" i="1" s="1"/>
  <c r="K233" i="1"/>
  <c r="L233" i="1" s="1"/>
  <c r="G226" i="1"/>
  <c r="H226" i="1" s="1"/>
  <c r="F34" i="1"/>
  <c r="G34" i="1" s="1"/>
  <c r="H34" i="1" s="1"/>
  <c r="F42" i="1"/>
  <c r="G42" i="1" s="1"/>
  <c r="H42" i="1" s="1"/>
  <c r="F50" i="1"/>
  <c r="G50" i="1" s="1"/>
  <c r="H50" i="1" s="1"/>
  <c r="F58" i="1"/>
  <c r="G58" i="1" s="1"/>
  <c r="H58" i="1" s="1"/>
  <c r="F66" i="1"/>
  <c r="G66" i="1" s="1"/>
  <c r="H66" i="1" s="1"/>
  <c r="F74" i="1"/>
  <c r="G74" i="1" s="1"/>
  <c r="H74" i="1" s="1"/>
  <c r="F82" i="1"/>
  <c r="G82" i="1" s="1"/>
  <c r="H82" i="1" s="1"/>
  <c r="F90" i="1"/>
  <c r="G90" i="1" s="1"/>
  <c r="H90" i="1" s="1"/>
  <c r="F98" i="1"/>
  <c r="G98" i="1" s="1"/>
  <c r="H98" i="1" s="1"/>
  <c r="F106" i="1"/>
  <c r="G106" i="1" s="1"/>
  <c r="H106" i="1" s="1"/>
  <c r="F122" i="1"/>
  <c r="G122" i="1" s="1"/>
  <c r="H122" i="1" s="1"/>
  <c r="F154" i="1"/>
  <c r="G154" i="1" s="1"/>
  <c r="H154" i="1" s="1"/>
  <c r="F170" i="1"/>
  <c r="G170" i="1" s="1"/>
  <c r="H170" i="1" s="1"/>
  <c r="F178" i="1"/>
  <c r="G178" i="1" s="1"/>
  <c r="H178" i="1" s="1"/>
  <c r="F222" i="1"/>
  <c r="G222" i="1" s="1"/>
  <c r="H222" i="1" s="1"/>
  <c r="G129" i="1"/>
  <c r="H129" i="1" s="1"/>
  <c r="G216" i="1"/>
  <c r="H216" i="1" s="1"/>
  <c r="G240" i="1"/>
  <c r="H240" i="1" s="1"/>
  <c r="K24" i="1"/>
  <c r="L24" i="1" s="1"/>
  <c r="G45" i="1"/>
  <c r="H45" i="1" s="1"/>
  <c r="G65" i="1"/>
  <c r="H65" i="1" s="1"/>
  <c r="G89" i="1"/>
  <c r="H89" i="1" s="1"/>
  <c r="K163" i="1"/>
  <c r="L163" i="1" s="1"/>
  <c r="K183" i="1"/>
  <c r="L183" i="1" s="1"/>
  <c r="K208" i="1"/>
  <c r="L208" i="1" s="1"/>
  <c r="K237" i="1"/>
  <c r="L237" i="1" s="1"/>
  <c r="G130" i="1"/>
  <c r="H130" i="1" s="1"/>
  <c r="J3" i="1"/>
  <c r="K3" i="1" s="1"/>
  <c r="L3" i="1" s="1"/>
  <c r="J4" i="1"/>
  <c r="K4" i="1" s="1"/>
  <c r="L4" i="1" s="1"/>
  <c r="J156" i="1"/>
  <c r="K156" i="1" s="1"/>
  <c r="L156" i="1" s="1"/>
  <c r="J164" i="1"/>
  <c r="K164" i="1" s="1"/>
  <c r="L164" i="1" s="1"/>
  <c r="J172" i="1"/>
  <c r="K172" i="1" s="1"/>
  <c r="L172" i="1" s="1"/>
  <c r="J180" i="1"/>
  <c r="K180" i="1" s="1"/>
  <c r="L180" i="1" s="1"/>
  <c r="G8" i="1"/>
  <c r="H8" i="1" s="1"/>
  <c r="K17" i="1"/>
  <c r="L17" i="1" s="1"/>
  <c r="K25" i="1"/>
  <c r="L25" i="1" s="1"/>
  <c r="G135" i="1"/>
  <c r="H135" i="1" s="1"/>
  <c r="G143" i="1"/>
  <c r="H143" i="1" s="1"/>
  <c r="G152" i="1"/>
  <c r="H152" i="1" s="1"/>
  <c r="G160" i="1"/>
  <c r="H160" i="1" s="1"/>
  <c r="G168" i="1"/>
  <c r="H168" i="1" s="1"/>
  <c r="G176" i="1"/>
  <c r="H176" i="1" s="1"/>
  <c r="G184" i="1"/>
  <c r="H184" i="1" s="1"/>
  <c r="G193" i="1"/>
  <c r="H193" i="1" s="1"/>
  <c r="G201" i="1"/>
  <c r="H201" i="1" s="1"/>
  <c r="K14" i="1"/>
  <c r="L14" i="1" s="1"/>
  <c r="K22" i="1"/>
  <c r="L22" i="1" s="1"/>
  <c r="K31" i="1"/>
  <c r="L31" i="1" s="1"/>
  <c r="K39" i="1"/>
  <c r="L39" i="1" s="1"/>
  <c r="K47" i="1"/>
  <c r="L47" i="1" s="1"/>
  <c r="K55" i="1"/>
  <c r="L55" i="1" s="1"/>
  <c r="K63" i="1"/>
  <c r="L63" i="1" s="1"/>
  <c r="K71" i="1"/>
  <c r="L71" i="1" s="1"/>
  <c r="K79" i="1"/>
  <c r="L79" i="1" s="1"/>
  <c r="K87" i="1"/>
  <c r="L87" i="1" s="1"/>
  <c r="K95" i="1"/>
  <c r="L95" i="1" s="1"/>
  <c r="K103" i="1"/>
  <c r="L103" i="1" s="1"/>
  <c r="K111" i="1"/>
  <c r="L111" i="1" s="1"/>
  <c r="K119" i="1"/>
  <c r="L119" i="1" s="1"/>
  <c r="K127" i="1"/>
  <c r="L127" i="1" s="1"/>
  <c r="G136" i="1"/>
  <c r="H136" i="1" s="1"/>
  <c r="G144" i="1"/>
  <c r="H144" i="1" s="1"/>
  <c r="K153" i="1"/>
  <c r="L153" i="1" s="1"/>
  <c r="K169" i="1"/>
  <c r="L169" i="1" s="1"/>
  <c r="K177" i="1"/>
  <c r="L177" i="1" s="1"/>
  <c r="K185" i="1"/>
  <c r="L185" i="1" s="1"/>
  <c r="K215" i="1"/>
  <c r="L215" i="1" s="1"/>
  <c r="K223" i="1"/>
  <c r="L223" i="1" s="1"/>
  <c r="K231" i="1"/>
  <c r="L231" i="1" s="1"/>
  <c r="K239" i="1"/>
  <c r="L239" i="1" s="1"/>
  <c r="F206" i="1"/>
  <c r="G206" i="1" s="1"/>
  <c r="H206" i="1" s="1"/>
  <c r="F230" i="1"/>
  <c r="G230" i="1" s="1"/>
  <c r="H230" i="1" s="1"/>
  <c r="G11" i="1"/>
  <c r="H11" i="1" s="1"/>
  <c r="G19" i="1"/>
  <c r="H19" i="1" s="1"/>
  <c r="G27" i="1"/>
  <c r="H27" i="1" s="1"/>
  <c r="K36" i="1"/>
  <c r="L36" i="1" s="1"/>
  <c r="G44" i="1"/>
  <c r="H44" i="1" s="1"/>
  <c r="K52" i="1"/>
  <c r="L52" i="1" s="1"/>
  <c r="G60" i="1"/>
  <c r="H60" i="1" s="1"/>
  <c r="G72" i="1"/>
  <c r="H72" i="1" s="1"/>
  <c r="K80" i="1"/>
  <c r="L80" i="1" s="1"/>
  <c r="G92" i="1"/>
  <c r="H92" i="1" s="1"/>
  <c r="K100" i="1"/>
  <c r="L100" i="1" s="1"/>
  <c r="G116" i="1"/>
  <c r="H116" i="1" s="1"/>
  <c r="G212" i="1"/>
  <c r="H212" i="1" s="1"/>
  <c r="G236" i="1"/>
  <c r="H236" i="1" s="1"/>
  <c r="K20" i="1"/>
  <c r="L20" i="1" s="1"/>
  <c r="G41" i="1"/>
  <c r="H41" i="1" s="1"/>
  <c r="G167" i="1"/>
  <c r="H167" i="1" s="1"/>
  <c r="G192" i="1"/>
  <c r="H192" i="1" s="1"/>
  <c r="G217" i="1"/>
  <c r="H217" i="1" s="1"/>
  <c r="G241" i="1"/>
  <c r="H241" i="1" s="1"/>
  <c r="G138" i="1"/>
  <c r="H138" i="1" s="1"/>
  <c r="G194" i="1"/>
  <c r="H194" i="1" s="1"/>
  <c r="F5" i="1"/>
  <c r="G5" i="1" s="1"/>
  <c r="H5" i="1" s="1"/>
  <c r="F53" i="1"/>
  <c r="G53" i="1" s="1"/>
  <c r="H53" i="1" s="1"/>
  <c r="F69" i="1"/>
  <c r="G69" i="1" s="1"/>
  <c r="H69" i="1" s="1"/>
  <c r="F93" i="1"/>
  <c r="G93" i="1" s="1"/>
  <c r="H93" i="1" s="1"/>
  <c r="F101" i="1"/>
  <c r="G101" i="1" s="1"/>
  <c r="H101" i="1" s="1"/>
  <c r="F109" i="1"/>
  <c r="G109" i="1" s="1"/>
  <c r="H109" i="1" s="1"/>
  <c r="F117" i="1"/>
  <c r="G117" i="1" s="1"/>
  <c r="H117" i="1" s="1"/>
  <c r="F133" i="1"/>
  <c r="G133" i="1" s="1"/>
  <c r="H133" i="1" s="1"/>
  <c r="F141" i="1"/>
  <c r="G141" i="1" s="1"/>
  <c r="H141" i="1" s="1"/>
  <c r="F189" i="1"/>
  <c r="G189" i="1" s="1"/>
  <c r="H189" i="1" s="1"/>
  <c r="F197" i="1"/>
  <c r="G197" i="1" s="1"/>
  <c r="H197" i="1" s="1"/>
  <c r="F205" i="1"/>
  <c r="G205" i="1" s="1"/>
  <c r="H205" i="1" s="1"/>
  <c r="F213" i="1"/>
  <c r="G213" i="1" s="1"/>
  <c r="H213" i="1" s="1"/>
  <c r="F229" i="1"/>
  <c r="G229" i="1" s="1"/>
  <c r="H229" i="1" s="1"/>
  <c r="G88" i="1"/>
  <c r="H88" i="1" s="1"/>
  <c r="K112" i="1"/>
  <c r="L112" i="1" s="1"/>
  <c r="G137" i="1"/>
  <c r="H137" i="1" s="1"/>
  <c r="G191" i="1"/>
  <c r="H191" i="1" s="1"/>
  <c r="G207" i="1"/>
  <c r="H207" i="1" s="1"/>
  <c r="G232" i="1"/>
  <c r="H232" i="1" s="1"/>
  <c r="G16" i="1"/>
  <c r="H16" i="1" s="1"/>
  <c r="G49" i="1"/>
  <c r="H49" i="1" s="1"/>
  <c r="G73" i="1"/>
  <c r="H73" i="1" s="1"/>
  <c r="G97" i="1"/>
  <c r="H97" i="1" s="1"/>
  <c r="G113" i="1"/>
  <c r="H113" i="1" s="1"/>
  <c r="G175" i="1"/>
  <c r="H175" i="1" s="1"/>
  <c r="K200" i="1"/>
  <c r="L200" i="1" s="1"/>
  <c r="G225" i="1"/>
  <c r="H225" i="1" s="1"/>
  <c r="G114" i="1"/>
  <c r="H114" i="1" s="1"/>
  <c r="G186" i="1"/>
  <c r="H186" i="1" s="1"/>
  <c r="G242" i="1"/>
  <c r="H242" i="1" s="1"/>
  <c r="J18" i="1"/>
  <c r="K18" i="1" s="1"/>
  <c r="L18" i="1" s="1"/>
  <c r="J26" i="1"/>
  <c r="K26" i="1" s="1"/>
  <c r="L26" i="1" s="1"/>
  <c r="J34" i="1"/>
  <c r="K34" i="1" s="1"/>
  <c r="L34" i="1" s="1"/>
  <c r="J42" i="1"/>
  <c r="K42" i="1" s="1"/>
  <c r="L42" i="1" s="1"/>
  <c r="J50" i="1"/>
  <c r="K50" i="1" s="1"/>
  <c r="L50" i="1" s="1"/>
  <c r="J58" i="1"/>
  <c r="K58" i="1" s="1"/>
  <c r="L58" i="1" s="1"/>
  <c r="J66" i="1"/>
  <c r="K66" i="1" s="1"/>
  <c r="L66" i="1" s="1"/>
  <c r="J74" i="1"/>
  <c r="K74" i="1" s="1"/>
  <c r="L74" i="1" s="1"/>
  <c r="J82" i="1"/>
  <c r="K82" i="1" s="1"/>
  <c r="L82" i="1" s="1"/>
  <c r="J90" i="1"/>
  <c r="K90" i="1" s="1"/>
  <c r="L90" i="1" s="1"/>
  <c r="J98" i="1"/>
  <c r="K98" i="1" s="1"/>
  <c r="L98" i="1" s="1"/>
  <c r="J106" i="1"/>
  <c r="K106" i="1" s="1"/>
  <c r="L106" i="1" s="1"/>
  <c r="K129" i="1"/>
  <c r="L129" i="1" s="1"/>
  <c r="K216" i="1"/>
  <c r="L216" i="1" s="1"/>
  <c r="K240" i="1"/>
  <c r="L240" i="1" s="1"/>
  <c r="G24" i="1"/>
  <c r="H24" i="1" s="1"/>
  <c r="K45" i="1"/>
  <c r="L45" i="1" s="1"/>
  <c r="K65" i="1"/>
  <c r="L65" i="1" s="1"/>
  <c r="K89" i="1"/>
  <c r="L89" i="1" s="1"/>
  <c r="G151" i="1"/>
  <c r="H151" i="1" s="1"/>
  <c r="G171" i="1"/>
  <c r="H171" i="1" s="1"/>
  <c r="G196" i="1"/>
  <c r="H196" i="1" s="1"/>
  <c r="G221" i="1"/>
  <c r="H221" i="1" s="1"/>
  <c r="G245" i="1"/>
  <c r="H245" i="1" s="1"/>
  <c r="G146" i="1"/>
  <c r="H146" i="1" s="1"/>
  <c r="G214" i="1"/>
  <c r="H214" i="1" s="1"/>
  <c r="G3" i="1"/>
  <c r="H3" i="1" s="1"/>
  <c r="G162" i="1"/>
  <c r="H162" i="1" s="1"/>
  <c r="G218" i="1"/>
  <c r="H218" i="1" s="1"/>
  <c r="G4" i="1"/>
  <c r="H4" i="1" s="1"/>
  <c r="G13" i="1"/>
  <c r="H13" i="1" s="1"/>
  <c r="G21" i="1"/>
  <c r="H21" i="1" s="1"/>
  <c r="G29" i="1"/>
  <c r="H29" i="1" s="1"/>
  <c r="K135" i="1"/>
  <c r="L135" i="1" s="1"/>
  <c r="K143" i="1"/>
  <c r="L143" i="1" s="1"/>
  <c r="K152" i="1"/>
  <c r="L152" i="1" s="1"/>
  <c r="K160" i="1"/>
  <c r="L160" i="1" s="1"/>
  <c r="K168" i="1"/>
  <c r="L168" i="1" s="1"/>
  <c r="K176" i="1"/>
  <c r="L176" i="1" s="1"/>
  <c r="K184" i="1"/>
  <c r="L184" i="1" s="1"/>
  <c r="K193" i="1"/>
  <c r="L193" i="1" s="1"/>
  <c r="K201" i="1"/>
  <c r="L201" i="1" s="1"/>
  <c r="G18" i="1"/>
  <c r="H18" i="1" s="1"/>
  <c r="G26" i="1"/>
  <c r="H26" i="1" s="1"/>
  <c r="G35" i="1"/>
  <c r="H35" i="1" s="1"/>
  <c r="G43" i="1"/>
  <c r="H43" i="1" s="1"/>
  <c r="G51" i="1"/>
  <c r="H51" i="1" s="1"/>
  <c r="G59" i="1"/>
  <c r="H59" i="1" s="1"/>
  <c r="G67" i="1"/>
  <c r="H67" i="1" s="1"/>
  <c r="G75" i="1"/>
  <c r="H75" i="1" s="1"/>
  <c r="G83" i="1"/>
  <c r="H83" i="1" s="1"/>
  <c r="G91" i="1"/>
  <c r="H91" i="1" s="1"/>
  <c r="G99" i="1"/>
  <c r="H99" i="1" s="1"/>
  <c r="G107" i="1"/>
  <c r="H107" i="1" s="1"/>
  <c r="G115" i="1"/>
  <c r="H115" i="1" s="1"/>
  <c r="G123" i="1"/>
  <c r="H123" i="1" s="1"/>
  <c r="G132" i="1"/>
  <c r="H132" i="1" s="1"/>
  <c r="G140" i="1"/>
  <c r="H140" i="1" s="1"/>
  <c r="G148" i="1"/>
  <c r="H148" i="1" s="1"/>
  <c r="G157" i="1"/>
  <c r="H157" i="1" s="1"/>
  <c r="G165" i="1"/>
  <c r="H165" i="1" s="1"/>
  <c r="G173" i="1"/>
  <c r="H173" i="1" s="1"/>
  <c r="G181" i="1"/>
  <c r="H181" i="1" s="1"/>
  <c r="G215" i="1"/>
  <c r="H215" i="1" s="1"/>
  <c r="G223" i="1"/>
  <c r="H223" i="1" s="1"/>
  <c r="G231" i="1"/>
  <c r="H231" i="1" s="1"/>
  <c r="G239" i="1"/>
  <c r="H239" i="1" s="1"/>
  <c r="K11" i="1"/>
  <c r="L11" i="1" s="1"/>
  <c r="K19" i="1"/>
  <c r="L19" i="1" s="1"/>
  <c r="K27" i="1"/>
  <c r="L27" i="1" s="1"/>
  <c r="G36" i="1"/>
  <c r="H36" i="1" s="1"/>
  <c r="K44" i="1"/>
  <c r="L44" i="1" s="1"/>
  <c r="G52" i="1"/>
  <c r="H52" i="1" s="1"/>
  <c r="K60" i="1"/>
  <c r="L60" i="1" s="1"/>
  <c r="K72" i="1"/>
  <c r="L72" i="1" s="1"/>
  <c r="G80" i="1"/>
  <c r="H80" i="1" s="1"/>
  <c r="K92" i="1"/>
  <c r="L92" i="1" s="1"/>
  <c r="G100" i="1"/>
  <c r="H100" i="1" s="1"/>
  <c r="K116" i="1"/>
  <c r="L116" i="1" s="1"/>
  <c r="K212" i="1"/>
  <c r="L212" i="1" s="1"/>
  <c r="K236" i="1"/>
  <c r="L236" i="1" s="1"/>
  <c r="G20" i="1"/>
  <c r="H20" i="1" s="1"/>
  <c r="K41" i="1"/>
  <c r="L41" i="1" s="1"/>
  <c r="K167" i="1"/>
  <c r="L167" i="1" s="1"/>
  <c r="K192" i="1"/>
  <c r="L192" i="1" s="1"/>
  <c r="K241" i="1"/>
  <c r="L241" i="1" s="1"/>
  <c r="J13" i="1"/>
  <c r="K13" i="1" s="1"/>
  <c r="L13" i="1" s="1"/>
  <c r="J21" i="1"/>
  <c r="K21" i="1" s="1"/>
  <c r="L21" i="1" s="1"/>
  <c r="J29" i="1"/>
  <c r="K29" i="1" s="1"/>
  <c r="L29" i="1" s="1"/>
  <c r="J53" i="1"/>
  <c r="K53" i="1" s="1"/>
  <c r="L53" i="1" s="1"/>
  <c r="J69" i="1"/>
  <c r="K69" i="1" s="1"/>
  <c r="L69" i="1" s="1"/>
  <c r="J93" i="1"/>
  <c r="K93" i="1" s="1"/>
  <c r="L93" i="1" s="1"/>
  <c r="J101" i="1"/>
  <c r="K101" i="1" s="1"/>
  <c r="L101" i="1" s="1"/>
  <c r="J109" i="1"/>
  <c r="K109" i="1" s="1"/>
  <c r="L109" i="1" s="1"/>
  <c r="J117" i="1"/>
  <c r="K117" i="1" s="1"/>
  <c r="L117" i="1" s="1"/>
  <c r="J133" i="1"/>
  <c r="K133" i="1" s="1"/>
  <c r="L133" i="1" s="1"/>
  <c r="J157" i="1"/>
  <c r="K157" i="1" s="1"/>
  <c r="L157" i="1" s="1"/>
  <c r="J165" i="1"/>
  <c r="K165" i="1" s="1"/>
  <c r="L165" i="1" s="1"/>
  <c r="J173" i="1"/>
  <c r="K173" i="1" s="1"/>
  <c r="L173" i="1" s="1"/>
  <c r="J181" i="1"/>
  <c r="K181" i="1" s="1"/>
  <c r="L181" i="1" s="1"/>
  <c r="J189" i="1"/>
  <c r="K189" i="1" s="1"/>
  <c r="L189" i="1" s="1"/>
  <c r="J197" i="1"/>
  <c r="K197" i="1" s="1"/>
  <c r="L197" i="1" s="1"/>
  <c r="J205" i="1"/>
  <c r="K205" i="1" s="1"/>
  <c r="L205" i="1" s="1"/>
  <c r="J229" i="1"/>
  <c r="K229" i="1" s="1"/>
  <c r="L229" i="1" s="1"/>
  <c r="K88" i="1"/>
  <c r="L88" i="1" s="1"/>
  <c r="G112" i="1"/>
  <c r="H112" i="1" s="1"/>
  <c r="K137" i="1"/>
  <c r="L137" i="1" s="1"/>
  <c r="K191" i="1"/>
  <c r="L191" i="1" s="1"/>
  <c r="K207" i="1"/>
  <c r="L207" i="1" s="1"/>
  <c r="K232" i="1"/>
  <c r="L232" i="1" s="1"/>
  <c r="K16" i="1"/>
  <c r="L16" i="1" s="1"/>
  <c r="K49" i="1"/>
  <c r="L49" i="1" s="1"/>
  <c r="K73" i="1"/>
  <c r="L73" i="1" s="1"/>
  <c r="K97" i="1"/>
  <c r="L97" i="1" s="1"/>
  <c r="K113" i="1"/>
  <c r="L113" i="1" s="1"/>
  <c r="K175" i="1"/>
  <c r="L175" i="1" s="1"/>
  <c r="G200" i="1"/>
  <c r="H200" i="1" s="1"/>
  <c r="K225" i="1"/>
  <c r="L225" i="1" s="1"/>
  <c r="F6" i="1"/>
  <c r="G6" i="1" s="1"/>
  <c r="H6" i="1" s="1"/>
  <c r="F14" i="1"/>
  <c r="G14" i="1" s="1"/>
  <c r="H14" i="1" s="1"/>
  <c r="F22" i="1"/>
  <c r="G22" i="1" s="1"/>
  <c r="H22" i="1" s="1"/>
  <c r="F38" i="1"/>
  <c r="G38" i="1" s="1"/>
  <c r="H38" i="1" s="1"/>
  <c r="F46" i="1"/>
  <c r="G46" i="1" s="1"/>
  <c r="H46" i="1" s="1"/>
  <c r="F54" i="1"/>
  <c r="G54" i="1" s="1"/>
  <c r="H54" i="1" s="1"/>
  <c r="F62" i="1"/>
  <c r="G62" i="1" s="1"/>
  <c r="H62" i="1" s="1"/>
  <c r="F70" i="1"/>
  <c r="G70" i="1" s="1"/>
  <c r="H70" i="1" s="1"/>
  <c r="F78" i="1"/>
  <c r="G78" i="1" s="1"/>
  <c r="H78" i="1" s="1"/>
  <c r="F86" i="1"/>
  <c r="G86" i="1" s="1"/>
  <c r="H86" i="1" s="1"/>
  <c r="F94" i="1"/>
  <c r="G94" i="1" s="1"/>
  <c r="H94" i="1" s="1"/>
  <c r="F102" i="1"/>
  <c r="G102" i="1" s="1"/>
  <c r="H102" i="1" s="1"/>
  <c r="F110" i="1"/>
  <c r="G110" i="1" s="1"/>
  <c r="H110" i="1" s="1"/>
  <c r="F118" i="1"/>
  <c r="G118" i="1" s="1"/>
  <c r="H118" i="1" s="1"/>
  <c r="F126" i="1"/>
  <c r="G126" i="1" s="1"/>
  <c r="H126" i="1" s="1"/>
  <c r="F134" i="1"/>
  <c r="G134" i="1" s="1"/>
  <c r="H134" i="1" s="1"/>
  <c r="F142" i="1"/>
  <c r="G142" i="1" s="1"/>
  <c r="H142" i="1" s="1"/>
  <c r="F158" i="1"/>
  <c r="G158" i="1" s="1"/>
  <c r="H158" i="1" s="1"/>
  <c r="F174" i="1"/>
  <c r="G174" i="1" s="1"/>
  <c r="H174" i="1" s="1"/>
  <c r="F182" i="1"/>
  <c r="G182" i="1" s="1"/>
  <c r="H182" i="1" s="1"/>
  <c r="F190" i="1"/>
  <c r="G190" i="1" s="1"/>
  <c r="H190" i="1" s="1"/>
  <c r="F198" i="1"/>
  <c r="G198" i="1" s="1"/>
  <c r="H198" i="1" s="1"/>
  <c r="F210" i="1"/>
  <c r="G210" i="1" s="1"/>
  <c r="H210" i="1" s="1"/>
  <c r="F238" i="1"/>
  <c r="G238" i="1" s="1"/>
  <c r="H238" i="1" s="1"/>
  <c r="G203" i="1"/>
  <c r="H203" i="1" s="1"/>
  <c r="G228" i="1"/>
  <c r="H228" i="1" s="1"/>
  <c r="G12" i="1"/>
  <c r="H12" i="1" s="1"/>
  <c r="G33" i="1"/>
  <c r="H33" i="1" s="1"/>
  <c r="G57" i="1"/>
  <c r="H57" i="1" s="1"/>
  <c r="G77" i="1"/>
  <c r="H77" i="1" s="1"/>
  <c r="G125" i="1"/>
  <c r="H125" i="1" s="1"/>
  <c r="K151" i="1"/>
  <c r="L151" i="1" s="1"/>
  <c r="K171" i="1"/>
  <c r="L171" i="1" s="1"/>
  <c r="K196" i="1"/>
  <c r="L196" i="1" s="1"/>
  <c r="K221" i="1"/>
  <c r="L221" i="1" s="1"/>
  <c r="K245" i="1"/>
  <c r="L245" i="1" s="1"/>
</calcChain>
</file>

<file path=xl/sharedStrings.xml><?xml version="1.0" encoding="utf-8"?>
<sst xmlns="http://schemas.openxmlformats.org/spreadsheetml/2006/main" count="628" uniqueCount="123">
  <si>
    <t>Date</t>
  </si>
  <si>
    <t>Is_Weekend_or_BH</t>
  </si>
  <si>
    <t>Max_Temperature_C</t>
  </si>
  <si>
    <t>Rainfall_mm</t>
  </si>
  <si>
    <t>Beef_Historical_Order_kg</t>
  </si>
  <si>
    <t>Beef_Actual_Sales_kg</t>
  </si>
  <si>
    <t>Beef_Wasted_Stock_kg</t>
  </si>
  <si>
    <t>Beef_Financial_Loss_£</t>
  </si>
  <si>
    <t>Pork_Historical_Order_kg</t>
  </si>
  <si>
    <t>Pork_Actual_Sales_kg</t>
  </si>
  <si>
    <t>Pork_Wasted_Stock_kg</t>
  </si>
  <si>
    <t>Pork_Financial_Loss_£</t>
  </si>
  <si>
    <t>YES</t>
  </si>
  <si>
    <t>tmax</t>
  </si>
  <si>
    <t>prcp</t>
  </si>
  <si>
    <t>Weather_Condition</t>
  </si>
  <si>
    <t>Ideal BBQ Day</t>
  </si>
  <si>
    <t>Normal Weekday</t>
  </si>
  <si>
    <t>Heavy Rain</t>
  </si>
  <si>
    <t>Extreme Heat</t>
  </si>
  <si>
    <t>Row Labels</t>
  </si>
  <si>
    <t>Grand Total</t>
  </si>
  <si>
    <t>Sum of Beef_Financial_Loss_£</t>
  </si>
  <si>
    <t>Sum of Pork_Financial_Loss_£</t>
  </si>
  <si>
    <t>Year_Filter</t>
  </si>
  <si>
    <t>Month_Filter</t>
  </si>
  <si>
    <t>May</t>
  </si>
  <si>
    <t>June</t>
  </si>
  <si>
    <t>Average of Beef_Financial_Loss_£</t>
  </si>
  <si>
    <t>Average of Pork_Financial_Loss_£</t>
  </si>
  <si>
    <t>Category</t>
  </si>
  <si>
    <t>Demand Change (Extreme Heat)</t>
  </si>
  <si>
    <t>Business Action</t>
  </si>
  <si>
    <t>Beef &amp; Pork</t>
  </si>
  <si>
    <t>Soft Drinks</t>
  </si>
  <si>
    <t>Ice Cream</t>
  </si>
  <si>
    <t>Bagged Ice</t>
  </si>
  <si>
    <t>Reduce purchases, protect the margin</t>
  </si>
  <si>
    <t>Urgently check the freezers</t>
  </si>
  <si>
    <t>Maximum delivery priority</t>
  </si>
  <si>
    <t>Total Heatwave Loss</t>
  </si>
  <si>
    <t>Prevented Loss</t>
  </si>
  <si>
    <t>Remaining Loss</t>
  </si>
  <si>
    <t>Traditional Sourcing (Blind)</t>
  </si>
  <si>
    <t>Smart Sourcing (With Forecast)</t>
  </si>
  <si>
    <t>Sourcing Strategy</t>
  </si>
  <si>
    <t>Financial Impact (£)</t>
  </si>
  <si>
    <t>Type</t>
  </si>
  <si>
    <t>Net Savings (Твоя аналітика)</t>
  </si>
  <si>
    <t>Real Loss</t>
  </si>
  <si>
    <t>Remaining Risk</t>
  </si>
  <si>
    <t>Money Saved</t>
  </si>
  <si>
    <t>Increase the facing on the shelves</t>
  </si>
  <si>
    <t>Sum. Beef&amp;Pork (Extreme Heat)</t>
  </si>
  <si>
    <t>Sum. Beef&amp;Pork (Heavy Rain)</t>
  </si>
  <si>
    <t>Sum. Beef&amp;Pork (Standart Weekend)</t>
  </si>
  <si>
    <t>Resource links</t>
  </si>
  <si>
    <t>🥩 Weather-Driven FMCG Supply Chain &amp; Margin Analytics</t>
  </si>
  <si>
    <t>Using a 4-day heatwave event case study, the predictive sourcing model demonstrates clear financial benefits for executive stakeholders:</t>
  </si>
  <si>
    <t>---</t>
  </si>
  <si>
    <t>📌 Project Overview</t>
  </si>
  <si>
    <t xml:space="preserve"> 📊 Key Business Insights &amp; Analytical Framework (From the Report):</t>
  </si>
  <si>
    <t xml:space="preserve"> 💰 Financial ROI &amp; Predictive Sourcing Model</t>
  </si>
  <si>
    <t>🛠️ Advanced Toolset &amp; Techniques Demonstrated:</t>
  </si>
  <si>
    <t>This commercial-grade data analytics project explores the correlation between weather conditions (daily temperature fluctuations/extreme rain) and FMCG operations in Gloucestershire, UK. The project transitions raw operational data into actionable business insights to optimize inventory levels, eliminate waste, and protect financial margins during weather anomalies.</t>
  </si>
  <si>
    <t xml:space="preserve">2. The "Ruined Weekend Effect" (Bank Holiday Analysis): Quantified baseline financial losses from supply chain pre-allocation during extreme weather. </t>
  </si>
  <si>
    <t>3. Market Basket Shift (Mirror Effect): Demonstrated that consumer demand during heatwaves shifts from meat to refreshments:</t>
  </si>
  <si>
    <t>Smart Sourcing (Predictive Analytics): Throttling meat orders by 85% based on a 3-day meteorological forecast slashes the risk to £754.80.</t>
  </si>
  <si>
    <t>Net Profit Saved: 🎉 £4,277.20 of margin protected via data-driven decisions.</t>
  </si>
  <si>
    <t>Traditional Sourcing (Blind Procurement): Realized loss of £5,032.00</t>
  </si>
  <si>
    <t>Microsoft Excel &amp; Power Query: Data cleansing, handling null values, building relational logic (`XLOOKUP`, `INDEX/MATCH`, `SUMIFS`), and structuring Pivot Tables.</t>
  </si>
  <si>
    <t>Business Intelligence: Designing interactive executive-level dashboards with KPI cards and slicers.</t>
  </si>
  <si>
    <t>Supply Chain Management: Demand forecasting, Cold Chain risk management (HACCP), and inventory optimization.</t>
  </si>
  <si>
    <t>1. Data Quality Assessment (DQA): Audited and cleaned a historical dataset of 300 daily records (2023–2026) using Power Query, standardizing calendar tags, handling empty financial rows, and creating conditional attributes for Extreme Heat ($&gt;30^\circ\text{C}$).</t>
  </si>
  <si>
    <t xml:space="preserve"> Bagged Ice Demand: +450% | Ice Cream: +310% | Soft Drinks: +240%</t>
  </si>
  <si>
    <t xml:space="preserve">  Meat Demand (Beef &amp; Pork): -85%</t>
  </si>
  <si>
    <t xml:space="preserve"> Standard Sunny Weekends incur £0.00 in weather-related spoilage.</t>
  </si>
  <si>
    <t xml:space="preserve">  Extreme Heat Bank Holiday: Generates an average loss of £1,258.00/day in wasted meat stock.</t>
  </si>
  <si>
    <t xml:space="preserve"> Heavy Rain Bank Holiday: Generates an average loss of £1,124.80/day.</t>
  </si>
  <si>
    <t>Focus: Data Analytics | Supply Chain Logistics | FMCG Operations</t>
  </si>
  <si>
    <t>Developed by: Vasyl Honcharuk</t>
  </si>
  <si>
    <t>v1.0</t>
  </si>
  <si>
    <t>v1.1</t>
  </si>
  <si>
    <t>v1.2</t>
  </si>
  <si>
    <t>Version</t>
  </si>
  <si>
    <t>Status</t>
  </si>
  <si>
    <t>Stage</t>
  </si>
  <si>
    <t>Module / Functionality</t>
  </si>
  <si>
    <t>Description of Changes</t>
  </si>
  <si>
    <t>Stage 1: Ingestion</t>
  </si>
  <si>
    <t>v0.1</t>
  </si>
  <si>
    <t>Web Data Ingestion</t>
  </si>
  <si>
    <t>Completed</t>
  </si>
  <si>
    <t>Stage 2: Cleaning</t>
  </si>
  <si>
    <t>v0.2</t>
  </si>
  <si>
    <t>Data Cleaning &amp; Parsing</t>
  </si>
  <si>
    <t>Stage 3: Modeling</t>
  </si>
  <si>
    <t>Temperature Matrix</t>
  </si>
  <si>
    <t>Data Aggregation</t>
  </si>
  <si>
    <t>Stage 4: Presentation</t>
  </si>
  <si>
    <t>Current</t>
  </si>
  <si>
    <t>Dashboard &amp; UI</t>
  </si>
  <si>
    <t>Developed a "raw" data cleaning algorithm: text splitting via TEXTSPLIT, duplicate removal, and handling empty values using pad_with = "".</t>
  </si>
  <si>
    <t>Formed the main temperature calculation table. Integrated XLOOKUP functions for reverse lookup of the latest values and date handling.</t>
  </si>
  <si>
    <t>Set up analytical formulas (SUMIFS, COUNTIFS) and dynamic sorting via SORTBY for data grouping.</t>
  </si>
  <si>
    <t>Set up automatic data import from external websites (temperature table import, pork and beef procurement and sales volumes import ).</t>
  </si>
  <si>
    <t xml:space="preserve"> Creating the final dashboard with charts, configuring the cell color code, and drafting instructions on the Readme sheet.</t>
  </si>
  <si>
    <t>Beef Market Trends &amp; Dynamics</t>
  </si>
  <si>
    <t>Monthly</t>
  </si>
  <si>
    <t>AHDB Beef Markets</t>
  </si>
  <si>
    <t>Meat Consumption &amp; Industry Facts</t>
  </si>
  <si>
    <t>Annually</t>
  </si>
  <si>
    <t>Food Foundation Meat Facts</t>
  </si>
  <si>
    <t>Regional Weather Data (Gloucester)</t>
  </si>
  <si>
    <t>Temperature_Matrix</t>
  </si>
  <si>
    <t>Daily / Weekly</t>
  </si>
  <si>
    <t>Meteostat Gloucester Weather</t>
  </si>
  <si>
    <t>GB Deadweight Cattle Prices</t>
  </si>
  <si>
    <t>Weekly</t>
  </si>
  <si>
    <t>AHDB Deadweight Cattle Prices</t>
  </si>
  <si>
    <r>
      <t>Inputs</t>
    </r>
    <r>
      <rPr>
        <sz val="12"/>
        <color theme="1"/>
        <rFont val="Arial"/>
        <family val="2"/>
      </rPr>
      <t xml:space="preserve"> / </t>
    </r>
    <r>
      <rPr>
        <sz val="12"/>
        <color theme="1"/>
        <rFont val="Google Sans Text"/>
        <family val="2"/>
      </rPr>
      <t>Market_Analysis</t>
    </r>
  </si>
  <si>
    <r>
      <t>Readme</t>
    </r>
    <r>
      <rPr>
        <sz val="12"/>
        <color theme="1"/>
        <rFont val="Arial"/>
        <family val="2"/>
      </rPr>
      <t xml:space="preserve"> / </t>
    </r>
    <r>
      <rPr>
        <sz val="12"/>
        <color theme="1"/>
        <rFont val="Google Sans Text"/>
        <family val="2"/>
      </rPr>
      <t>Assumptions</t>
    </r>
  </si>
  <si>
    <r>
      <t>Calculations</t>
    </r>
    <r>
      <rPr>
        <sz val="12"/>
        <color theme="1"/>
        <rFont val="Arial"/>
        <family val="2"/>
      </rPr>
      <t xml:space="preserve"> / </t>
    </r>
    <r>
      <rPr>
        <sz val="12"/>
        <color theme="1"/>
        <rFont val="Google Sans Text"/>
        <family val="2"/>
      </rPr>
      <t>Pricing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</si>
</sst>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7" formatCode="&quot;£&quot;#,##0.00;\-&quot;£&quot;#,##0.00"/>
    <numFmt numFmtId="8" formatCode="&quot;£&quot;#,##0.00;[Red]\-&quot;£&quot;#,##0.00"/>
    <numFmt numFmtId="44" formatCode="_-&quot;£&quot;* #,##0.00_-;\-&quot;£&quot;* #,##0.00_-;_-&quot;£&quot;* &quot;-&quot;??_-;_-@_-"/>
    <numFmt numFmtId="164" formatCode="&quot;£&quot;#,##0.00"/>
    <numFmt numFmtId="165" formatCode="[$-F400]h:mm:ss\ AM/PM"/>
  </numFmts>
  <fonts count="3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0"/>
      <color rgb="FF1F1F1F"/>
      <name val="Arial"/>
      <family val="2"/>
    </font>
    <font>
      <sz val="8"/>
      <name val="Calibri"/>
      <family val="2"/>
      <scheme val="minor"/>
    </font>
    <font>
      <i/>
      <sz val="12"/>
      <color theme="1"/>
      <name val="Calibri"/>
      <family val="2"/>
      <scheme val="minor"/>
    </font>
    <font>
      <sz val="12"/>
      <color theme="1"/>
      <name val="Calibri"/>
      <family val="2"/>
      <scheme val="minor"/>
    </font>
    <font>
      <b/>
      <sz val="10"/>
      <color theme="1"/>
      <name val="Arial Unicode MS"/>
      <family val="2"/>
    </font>
    <font>
      <u/>
      <sz val="11"/>
      <color theme="10"/>
      <name val="Calibri"/>
      <family val="2"/>
      <scheme val="minor"/>
    </font>
    <font>
      <sz val="10"/>
      <color theme="1"/>
      <name val="Calibri"/>
      <family val="2"/>
      <scheme val="minor"/>
    </font>
    <font>
      <b/>
      <sz val="10"/>
      <color theme="0"/>
      <name val="Calibri"/>
      <family val="2"/>
      <scheme val="minor"/>
    </font>
    <font>
      <sz val="10"/>
      <color rgb="FF95C11F"/>
      <name val="Calibri Light"/>
      <family val="2"/>
      <scheme val="major"/>
    </font>
    <font>
      <sz val="10"/>
      <color theme="0"/>
      <name val="Calibri"/>
      <family val="2"/>
      <scheme val="minor"/>
    </font>
    <font>
      <b/>
      <sz val="14"/>
      <color theme="4"/>
      <name val="Calibri Light"/>
      <family val="2"/>
      <scheme val="major"/>
    </font>
    <font>
      <u/>
      <sz val="10"/>
      <color theme="10"/>
      <name val="Calibri"/>
      <family val="2"/>
      <scheme val="minor"/>
    </font>
    <font>
      <sz val="10"/>
      <color rgb="FFE42313"/>
      <name val="Calibri"/>
      <family val="2"/>
      <scheme val="minor"/>
    </font>
    <font>
      <sz val="10"/>
      <color rgb="FF009F5E"/>
      <name val="Calibri"/>
      <family val="2"/>
      <scheme val="minor"/>
    </font>
    <font>
      <sz val="10"/>
      <color rgb="FFFFCC00"/>
      <name val="Calibri"/>
      <family val="2"/>
      <scheme val="minor"/>
    </font>
    <font>
      <sz val="10"/>
      <name val="Arial"/>
      <family val="2"/>
    </font>
    <font>
      <b/>
      <sz val="12"/>
      <color theme="4"/>
      <name val="Arial (Body)_x0000_"/>
    </font>
    <font>
      <sz val="10"/>
      <color rgb="FF000000"/>
      <name val="MS Sans Serif"/>
    </font>
    <font>
      <sz val="10"/>
      <color rgb="FF000000"/>
      <name val="Arial"/>
      <family val="2"/>
    </font>
    <font>
      <b/>
      <sz val="12"/>
      <color rgb="FF1F1F1F"/>
      <name val="Times New Roman"/>
      <family val="1"/>
    </font>
    <font>
      <sz val="12"/>
      <color rgb="FF1F1F1F"/>
      <name val="Times New Roman"/>
      <family val="1"/>
    </font>
    <font>
      <i/>
      <sz val="12"/>
      <color rgb="FF1F1F1F"/>
      <name val="Times New Roman"/>
      <family val="1"/>
    </font>
    <font>
      <b/>
      <sz val="12"/>
      <color theme="1"/>
      <name val="Arial"/>
      <family val="2"/>
    </font>
    <font>
      <sz val="12"/>
      <color theme="1"/>
      <name val="Arial"/>
      <family val="2"/>
    </font>
    <font>
      <sz val="12"/>
      <color theme="1"/>
      <name val="Google Sans Text"/>
      <family val="2"/>
    </font>
    <font>
      <u/>
      <sz val="12"/>
      <color theme="10"/>
      <name val="Calibri"/>
      <family val="2"/>
      <scheme val="minor"/>
    </font>
    <font>
      <b/>
      <sz val="16"/>
      <color theme="1"/>
      <name val="Calibri"/>
      <family val="2"/>
      <scheme val="minor"/>
    </font>
  </fonts>
  <fills count="13">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3"/>
        <bgColor indexed="64"/>
      </patternFill>
    </fill>
    <fill>
      <patternFill patternType="solid">
        <fgColor theme="4"/>
      </patternFill>
    </fill>
    <fill>
      <patternFill patternType="solid">
        <fgColor theme="0"/>
        <bgColor indexed="64"/>
      </patternFill>
    </fill>
    <fill>
      <patternFill patternType="solid">
        <fgColor rgb="FFDFEFFB"/>
      </patternFill>
    </fill>
    <fill>
      <patternFill patternType="solid">
        <fgColor rgb="FFBBDDF5"/>
      </patternFill>
    </fill>
    <fill>
      <patternFill patternType="solid">
        <fgColor rgb="FF61BAE8"/>
      </patternFill>
    </fill>
    <fill>
      <patternFill patternType="solid">
        <fgColor rgb="FF95C11F"/>
      </patternFill>
    </fill>
    <fill>
      <patternFill patternType="solid">
        <fgColor rgb="FF999999"/>
      </patternFill>
    </fill>
    <fill>
      <patternFill patternType="solid">
        <fgColor rgb="FF014726"/>
        <bgColor indexed="64"/>
      </patternFill>
    </fill>
  </fills>
  <borders count="3">
    <border>
      <left/>
      <right/>
      <top/>
      <bottom/>
      <diagonal/>
    </border>
    <border>
      <left style="thin">
        <color theme="0"/>
      </left>
      <right style="thin">
        <color theme="0"/>
      </right>
      <top style="thin">
        <color theme="0"/>
      </top>
      <bottom style="thin">
        <color theme="0"/>
      </bottom>
      <diagonal/>
    </border>
    <border>
      <left style="medium">
        <color rgb="FFC4C7C5"/>
      </left>
      <right style="medium">
        <color rgb="FFC4C7C5"/>
      </right>
      <top style="medium">
        <color rgb="FFC4C7C5"/>
      </top>
      <bottom style="medium">
        <color rgb="FFC4C7C5"/>
      </bottom>
      <diagonal/>
    </border>
  </borders>
  <cellStyleXfs count="30">
    <xf numFmtId="0" fontId="0" fillId="0" borderId="0"/>
    <xf numFmtId="44" fontId="1" fillId="0" borderId="0" applyFont="0" applyFill="0" applyBorder="0" applyAlignment="0" applyProtection="0"/>
    <xf numFmtId="0" fontId="9" fillId="0" borderId="0" applyNumberFormat="0" applyFill="0" applyBorder="0" applyAlignment="0" applyProtection="0"/>
    <xf numFmtId="4" fontId="10" fillId="0" borderId="0">
      <alignment horizontal="left" vertical="top"/>
    </xf>
    <xf numFmtId="0" fontId="11" fillId="5" borderId="1" applyProtection="0">
      <alignment horizontal="center" vertical="center"/>
    </xf>
    <xf numFmtId="0" fontId="17" fillId="0" borderId="0" applyNumberFormat="0" applyBorder="0" applyProtection="0">
      <alignment vertical="center"/>
    </xf>
    <xf numFmtId="0" fontId="16" fillId="0" borderId="0" applyNumberFormat="0" applyBorder="0" applyProtection="0">
      <alignment vertical="center"/>
    </xf>
    <xf numFmtId="0" fontId="18" fillId="0" borderId="0" applyNumberFormat="0" applyBorder="0" applyProtection="0">
      <alignment vertical="center"/>
    </xf>
    <xf numFmtId="4" fontId="10" fillId="7" borderId="1" applyProtection="0">
      <alignment horizontal="center" vertical="center"/>
    </xf>
    <xf numFmtId="4" fontId="10" fillId="8" borderId="1" applyProtection="0">
      <alignment horizontal="center" vertical="center"/>
    </xf>
    <xf numFmtId="0" fontId="11" fillId="9" borderId="1" applyProtection="0">
      <alignment horizontal="center" vertical="center"/>
    </xf>
    <xf numFmtId="0" fontId="14" fillId="0" borderId="0" applyNumberFormat="0" applyFill="0">
      <alignment horizontal="left"/>
    </xf>
    <xf numFmtId="0" fontId="12" fillId="0" borderId="0" applyNumberFormat="0" applyFill="0" applyProtection="0">
      <alignment horizontal="left"/>
    </xf>
    <xf numFmtId="0" fontId="10" fillId="0" borderId="0" applyNumberFormat="0" applyFill="0" applyProtection="0">
      <alignment horizontal="left"/>
    </xf>
    <xf numFmtId="0" fontId="13" fillId="10" borderId="0" applyNumberFormat="0" applyProtection="0">
      <alignment horizontal="left" vertical="center"/>
    </xf>
    <xf numFmtId="39" fontId="15" fillId="0" borderId="0" applyFill="0" applyBorder="0" applyAlignment="0" applyProtection="0"/>
    <xf numFmtId="0" fontId="11" fillId="11" borderId="1" applyProtection="0">
      <alignment horizontal="center" vertical="center"/>
    </xf>
    <xf numFmtId="0" fontId="1" fillId="0" borderId="0"/>
    <xf numFmtId="0" fontId="1" fillId="0" borderId="0"/>
    <xf numFmtId="0" fontId="19" fillId="0" borderId="0"/>
    <xf numFmtId="9" fontId="10" fillId="0" borderId="0" applyFont="0" applyFill="0" applyBorder="0" applyAlignment="0" applyProtection="0"/>
    <xf numFmtId="0" fontId="19" fillId="0" borderId="0"/>
    <xf numFmtId="0" fontId="19" fillId="0" borderId="0"/>
    <xf numFmtId="4" fontId="10" fillId="0" borderId="0">
      <alignment horizontal="left" vertical="top"/>
    </xf>
    <xf numFmtId="39" fontId="15" fillId="0" borderId="0" applyFill="0" applyBorder="0" applyAlignment="0" applyProtection="0"/>
    <xf numFmtId="0" fontId="1" fillId="0" borderId="0"/>
    <xf numFmtId="0" fontId="21" fillId="0" borderId="0" applyNumberFormat="0" applyFont="0" applyBorder="0" applyProtection="0"/>
    <xf numFmtId="0" fontId="9" fillId="0" borderId="0" applyNumberFormat="0" applyFill="0" applyBorder="0" applyAlignment="0" applyProtection="0"/>
    <xf numFmtId="0" fontId="22" fillId="0" borderId="0"/>
    <xf numFmtId="0" fontId="12" fillId="0" borderId="0" applyNumberFormat="0" applyFill="0" applyProtection="0">
      <alignment horizontal="left"/>
    </xf>
  </cellStyleXfs>
  <cellXfs count="40">
    <xf numFmtId="0" fontId="0" fillId="0" borderId="0" xfId="0"/>
    <xf numFmtId="0" fontId="2" fillId="0" borderId="0" xfId="0" applyFont="1"/>
    <xf numFmtId="0" fontId="2" fillId="2" borderId="0" xfId="0" applyFont="1" applyFill="1"/>
    <xf numFmtId="0" fontId="2" fillId="2" borderId="0" xfId="0" applyFont="1" applyFill="1" applyAlignment="1">
      <alignment horizontal="center"/>
    </xf>
    <xf numFmtId="0" fontId="4" fillId="2" borderId="0" xfId="0" applyFont="1" applyFill="1" applyAlignment="1">
      <alignment horizontal="center"/>
    </xf>
    <xf numFmtId="14" fontId="0" fillId="0" borderId="0" xfId="0" applyNumberFormat="1"/>
    <xf numFmtId="0" fontId="0" fillId="0" borderId="0" xfId="0" applyAlignment="1">
      <alignment horizontal="center"/>
    </xf>
    <xf numFmtId="164" fontId="0" fillId="0" borderId="0" xfId="0" applyNumberFormat="1"/>
    <xf numFmtId="164" fontId="2" fillId="2" borderId="0" xfId="0" applyNumberFormat="1" applyFont="1" applyFill="1" applyAlignment="1">
      <alignment horizontal="center"/>
    </xf>
    <xf numFmtId="0" fontId="0" fillId="0" borderId="0" xfId="0" pivotButton="1"/>
    <xf numFmtId="0" fontId="0" fillId="0" borderId="0" xfId="0" applyAlignment="1">
      <alignment horizontal="left"/>
    </xf>
    <xf numFmtId="44" fontId="0" fillId="0" borderId="0" xfId="1" applyFont="1"/>
    <xf numFmtId="9" fontId="2" fillId="0" borderId="0" xfId="0" applyNumberFormat="1" applyFont="1" applyAlignment="1">
      <alignment horizontal="center"/>
    </xf>
    <xf numFmtId="9" fontId="8" fillId="0" borderId="0" xfId="0" applyNumberFormat="1" applyFont="1" applyAlignment="1">
      <alignment horizontal="center"/>
    </xf>
    <xf numFmtId="8" fontId="2" fillId="0" borderId="0" xfId="0" applyNumberFormat="1" applyFont="1" applyAlignment="1">
      <alignment horizontal="center" vertical="center"/>
    </xf>
    <xf numFmtId="0" fontId="2" fillId="3" borderId="0" xfId="0" applyFont="1" applyFill="1"/>
    <xf numFmtId="164" fontId="6" fillId="2" borderId="0" xfId="0" applyNumberFormat="1" applyFont="1" applyFill="1"/>
    <xf numFmtId="164" fontId="7" fillId="2" borderId="0" xfId="0" applyNumberFormat="1" applyFont="1" applyFill="1"/>
    <xf numFmtId="7" fontId="0" fillId="2" borderId="0" xfId="0" applyNumberFormat="1" applyFill="1"/>
    <xf numFmtId="8" fontId="0" fillId="2" borderId="0" xfId="0" applyNumberFormat="1" applyFill="1"/>
    <xf numFmtId="0" fontId="0" fillId="4" borderId="0" xfId="0" applyFill="1"/>
    <xf numFmtId="0" fontId="3" fillId="4" borderId="0" xfId="0" applyFont="1" applyFill="1"/>
    <xf numFmtId="4" fontId="20" fillId="0" borderId="0" xfId="3" applyFont="1" applyAlignment="1">
      <alignment horizontal="left" vertical="center"/>
    </xf>
    <xf numFmtId="0" fontId="23" fillId="0" borderId="2" xfId="0" applyFont="1" applyBorder="1" applyAlignment="1">
      <alignment horizontal="left" vertical="center" wrapText="1" indent="1" readingOrder="1"/>
    </xf>
    <xf numFmtId="0" fontId="24" fillId="0" borderId="2" xfId="0" applyFont="1" applyBorder="1" applyAlignment="1">
      <alignment horizontal="left" vertical="center" wrapText="1" indent="1" readingOrder="1"/>
    </xf>
    <xf numFmtId="14" fontId="24" fillId="0" borderId="2" xfId="0" applyNumberFormat="1" applyFont="1" applyBorder="1" applyAlignment="1">
      <alignment horizontal="left" vertical="center" wrapText="1" indent="1" readingOrder="1"/>
    </xf>
    <xf numFmtId="0" fontId="25" fillId="0" borderId="2" xfId="0" applyFont="1" applyBorder="1" applyAlignment="1">
      <alignment horizontal="left" vertical="center" wrapText="1" indent="1" readingOrder="1"/>
    </xf>
    <xf numFmtId="0" fontId="23" fillId="2" borderId="2" xfId="0" applyFont="1" applyFill="1" applyBorder="1" applyAlignment="1">
      <alignment horizontal="left" vertical="center" wrapText="1" indent="1" readingOrder="1"/>
    </xf>
    <xf numFmtId="0" fontId="7" fillId="0" borderId="0" xfId="0" applyFont="1" applyAlignment="1">
      <alignment horizontal="left"/>
    </xf>
    <xf numFmtId="0" fontId="26" fillId="0" borderId="2" xfId="0" applyFont="1" applyBorder="1" applyAlignment="1">
      <alignment horizontal="left" vertical="center" wrapText="1" indent="1"/>
    </xf>
    <xf numFmtId="0" fontId="27" fillId="0" borderId="2" xfId="0" applyFont="1" applyBorder="1" applyAlignment="1">
      <alignment horizontal="left" vertical="center" wrapText="1" indent="1"/>
    </xf>
    <xf numFmtId="0" fontId="28" fillId="0" borderId="2" xfId="0" applyFont="1" applyBorder="1" applyAlignment="1">
      <alignment horizontal="left" vertical="center" wrapText="1" indent="1"/>
    </xf>
    <xf numFmtId="0" fontId="29" fillId="0" borderId="2" xfId="2" applyFont="1" applyBorder="1" applyAlignment="1">
      <alignment horizontal="left" vertical="center" wrapText="1" indent="1"/>
    </xf>
    <xf numFmtId="165" fontId="7" fillId="6" borderId="0" xfId="3" applyNumberFormat="1" applyFont="1" applyFill="1" applyAlignment="1">
      <alignment horizontal="left" vertical="center"/>
    </xf>
    <xf numFmtId="4" fontId="7" fillId="0" borderId="0" xfId="3" applyFont="1" applyAlignment="1">
      <alignment horizontal="left" vertical="center" wrapText="1"/>
    </xf>
    <xf numFmtId="4" fontId="7" fillId="0" borderId="0" xfId="3" applyFont="1" applyAlignment="1">
      <alignment horizontal="left" vertical="top"/>
    </xf>
    <xf numFmtId="0" fontId="30" fillId="2" borderId="0" xfId="0" applyFont="1" applyFill="1" applyAlignment="1">
      <alignment horizontal="center"/>
    </xf>
    <xf numFmtId="0" fontId="7" fillId="2" borderId="0" xfId="0" applyFont="1" applyFill="1" applyAlignment="1">
      <alignment horizontal="center"/>
    </xf>
    <xf numFmtId="14" fontId="2" fillId="2" borderId="0" xfId="0" applyNumberFormat="1" applyFont="1" applyFill="1"/>
    <xf numFmtId="0" fontId="0" fillId="12" borderId="0" xfId="0" applyFill="1"/>
  </cellXfs>
  <cellStyles count="30">
    <cellStyle name="20% - Accent1 2" xfId="8" xr:uid="{8EBBA5F8-6EF1-4EF5-A37A-214AE9BC5EC2}"/>
    <cellStyle name="40% - Accent1 2" xfId="9" xr:uid="{981AFA43-1200-439C-8020-4D25DC949258}"/>
    <cellStyle name="60% - Accent1 2" xfId="10" xr:uid="{CA2DBF3A-D1CA-4489-A726-21A2C753B94A}"/>
    <cellStyle name="Accent1 2" xfId="4" xr:uid="{D0E2AED5-A144-412E-9489-9D48EB1AE940}"/>
    <cellStyle name="Bad 2" xfId="6" xr:uid="{9DA929FA-1D92-42BE-AB89-9A2A4ABC3294}"/>
    <cellStyle name="Currency" xfId="1" builtinId="4"/>
    <cellStyle name="Good 2" xfId="5" xr:uid="{AEA593DC-C183-410A-B037-EAA20105222E}"/>
    <cellStyle name="Heading 1 2" xfId="11" xr:uid="{328BA579-F5EF-49A8-962E-535BB185662C}"/>
    <cellStyle name="Heading 2 2" xfId="29" xr:uid="{530203D3-75DE-47F4-94B3-ECBD8E764A82}"/>
    <cellStyle name="Heading 2 3" xfId="12" xr:uid="{91D2BC34-3B07-4A5B-8FEC-A10D1F15DA25}"/>
    <cellStyle name="Heading 3 2" xfId="13" xr:uid="{BF90E133-4964-4FDB-AAEE-1E82361AE747}"/>
    <cellStyle name="Hyperlink" xfId="2" builtinId="8"/>
    <cellStyle name="Hyperlink 2" xfId="24" xr:uid="{EB8895BF-70A4-428A-B002-6FC599FEAC6D}"/>
    <cellStyle name="Hyperlink 3" xfId="27" xr:uid="{5B4C241A-DB5B-419D-B3D9-5C1AD2924F43}"/>
    <cellStyle name="Hyperlink 4" xfId="15" xr:uid="{AC2C0D25-858E-4EBE-BF52-CF45CF2587EC}"/>
    <cellStyle name="Input 2" xfId="14" xr:uid="{D713EE51-72A2-4F5B-A039-115DC80A6335}"/>
    <cellStyle name="Neutral 2" xfId="7" xr:uid="{FAB68C3E-F322-45CC-A96A-C6AEFCF7FA56}"/>
    <cellStyle name="Normal" xfId="0" builtinId="0"/>
    <cellStyle name="Normal 10" xfId="22" xr:uid="{C9407409-A2A9-4941-999B-A7287EC19F11}"/>
    <cellStyle name="Normal 2" xfId="17" xr:uid="{EBBF27FB-F2AB-4D38-959A-E054E4CF9117}"/>
    <cellStyle name="Normal 2 2" xfId="21" xr:uid="{09D15AE5-EF00-4E07-8BF9-BBE55918A570}"/>
    <cellStyle name="Normal 3" xfId="18" xr:uid="{1413AB7D-359F-4B0C-87AE-F7317812042E}"/>
    <cellStyle name="Normal 3 2" xfId="23" xr:uid="{148A1535-016B-4E3A-83E0-BF4A79D65305}"/>
    <cellStyle name="Normal 3 2 2" xfId="26" xr:uid="{7705C751-8FF4-4511-97A6-A84390E023D5}"/>
    <cellStyle name="Normal 4" xfId="25" xr:uid="{6AF11426-3D12-4C72-B523-67C25A15C62C}"/>
    <cellStyle name="Normal 4 3" xfId="28" xr:uid="{9F17DEED-A16A-49D4-949F-23F83913C9C3}"/>
    <cellStyle name="Normal 5" xfId="19" xr:uid="{C8549BFE-9BE6-4D22-8E9D-948612296384}"/>
    <cellStyle name="Normal 6" xfId="3" xr:uid="{6CECF609-8C82-410E-97FD-2F7BCEE536F3}"/>
    <cellStyle name="Per cent 2" xfId="20" xr:uid="{97A39FA5-3CA7-46BB-838D-07B46AF1686F}"/>
    <cellStyle name="table heading 3" xfId="16" xr:uid="{4A34A62C-4B1A-47AE-97C0-C674B49E4D41}"/>
  </cellStyles>
  <dxfs count="14">
    <dxf>
      <font>
        <b/>
      </font>
    </dxf>
    <dxf>
      <font>
        <b/>
      </font>
      <numFmt numFmtId="12" formatCode="&quot;£&quot;#,##0.00;[Red]\-&quot;£&quot;#,##0.00"/>
      <alignment horizontal="center" vertical="center" textRotation="0" wrapText="0" indent="0" justifyLastLine="0" shrinkToFit="0" readingOrder="0"/>
    </dxf>
    <dxf>
      <font>
        <b/>
      </font>
    </dxf>
    <dxf>
      <font>
        <b/>
      </font>
    </dxf>
    <dxf>
      <font>
        <b/>
      </font>
    </dxf>
    <dxf>
      <font>
        <b/>
      </font>
    </dxf>
    <dxf>
      <font>
        <b val="0"/>
        <i val="0"/>
        <color theme="1"/>
      </font>
      <fill>
        <patternFill>
          <bgColor theme="8"/>
        </patternFill>
      </fill>
    </dxf>
    <dxf>
      <font>
        <b val="0"/>
        <i val="0"/>
        <color theme="1"/>
      </font>
      <fill>
        <patternFill>
          <fgColor auto="1"/>
          <bgColor theme="7"/>
        </patternFill>
      </fill>
    </dxf>
    <dxf>
      <font>
        <b/>
        <i val="0"/>
        <color theme="0"/>
      </font>
      <fill>
        <patternFill>
          <bgColor theme="4"/>
        </patternFill>
      </fill>
    </dxf>
    <dxf>
      <font>
        <b val="0"/>
        <i val="0"/>
        <color theme="1"/>
      </font>
    </dxf>
    <dxf>
      <font>
        <b val="0"/>
        <i val="0"/>
        <color theme="1"/>
      </font>
      <fill>
        <patternFill>
          <bgColor rgb="FFBBDDF5"/>
        </patternFill>
      </fill>
    </dxf>
    <dxf>
      <font>
        <b val="0"/>
        <i val="0"/>
        <u val="none"/>
        <color theme="1"/>
      </font>
      <fill>
        <patternFill>
          <fgColor auto="1"/>
          <bgColor rgb="FFDFEFFB"/>
        </patternFill>
      </fill>
      <border>
        <left style="thin">
          <color theme="0"/>
        </left>
        <right style="thin">
          <color theme="0"/>
        </right>
        <top style="thin">
          <color theme="0"/>
        </top>
        <bottom style="thin">
          <color theme="0"/>
        </bottom>
      </border>
    </dxf>
    <dxf>
      <font>
        <b/>
        <i val="0"/>
        <color theme="0"/>
      </font>
      <fill>
        <patternFill>
          <bgColor rgb="FF0090D4"/>
        </patternFill>
      </fill>
    </dxf>
    <dxf>
      <font>
        <color auto="1"/>
      </font>
      <border>
        <left style="thin">
          <color theme="0"/>
        </left>
        <right style="thin">
          <color theme="0"/>
        </right>
        <top style="thin">
          <color theme="0"/>
        </top>
        <bottom style="thin">
          <color theme="0"/>
        </bottom>
        <vertical style="thin">
          <color theme="0"/>
        </vertical>
        <horizontal style="thin">
          <color theme="0"/>
        </horizontal>
      </border>
    </dxf>
  </dxfs>
  <tableStyles count="2" defaultTableStyle="TableStyleMedium2" defaultPivotStyle="PivotStyleLight16">
    <tableStyle name="AHDB table style" pivot="0" count="4" xr9:uid="{7405AABE-367F-4CD3-82ED-54ED87C06F85}">
      <tableStyleElement type="wholeTable" dxfId="13"/>
      <tableStyleElement type="headerRow" dxfId="12"/>
      <tableStyleElement type="firstRowStripe" dxfId="11"/>
      <tableStyleElement type="secondRowStripe" dxfId="10"/>
    </tableStyle>
    <tableStyle name="PivotTable Style 1" table="0" count="4" xr9:uid="{18685596-D25A-4987-A22B-34162B0A17F5}">
      <tableStyleElement type="wholeTable" dxfId="9"/>
      <tableStyleElement type="headerRow" dxfId="8"/>
      <tableStyleElement type="firstRowStripe" dxfId="7"/>
      <tableStyleElement type="secondRowStripe" dxfId="6"/>
    </tableStyle>
  </tableStyles>
  <colors>
    <mruColors>
      <color rgb="FFE6F2FF"/>
      <color rgb="FFFFCF00"/>
      <color rgb="FF014726"/>
      <color rgb="FFCC3300"/>
      <color rgb="FFFA0606"/>
      <color rgb="FF4682B4"/>
      <color rgb="FF708090"/>
      <color rgb="FFFFA500"/>
      <color rgb="FF0000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[Weather_Driven_FMCG_Supply_Chain_Analytics.xlsx]Calculations!PivotTable5</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Calculations!$B$1</c:f>
              <c:strCache>
                <c:ptCount val="1"/>
                <c:pt idx="0">
                  <c:v>Sum of Beef_Financial_Loss_£</c:v>
                </c:pt>
              </c:strCache>
            </c:strRef>
          </c:tx>
          <c:spPr>
            <a:solidFill>
              <a:schemeClr val="accent2"/>
            </a:solidFill>
            <a:ln>
              <a:noFill/>
            </a:ln>
            <a:effectLst/>
          </c:spPr>
          <c:invertIfNegative val="0"/>
          <c:cat>
            <c:strRef>
              <c:f>Calculations!$A$2:$A$6</c:f>
              <c:strCache>
                <c:ptCount val="4"/>
                <c:pt idx="0">
                  <c:v>Extreme Heat</c:v>
                </c:pt>
                <c:pt idx="1">
                  <c:v>Heavy Rain</c:v>
                </c:pt>
                <c:pt idx="2">
                  <c:v>Ideal BBQ Day</c:v>
                </c:pt>
                <c:pt idx="3">
                  <c:v>Normal Weekday</c:v>
                </c:pt>
              </c:strCache>
            </c:strRef>
          </c:cat>
          <c:val>
            <c:numRef>
              <c:f>Calculations!$B$2:$B$6</c:f>
              <c:numCache>
                <c:formatCode>"£"#,##0.00</c:formatCode>
                <c:ptCount val="4"/>
                <c:pt idx="0">
                  <c:v>3671.9999999999995</c:v>
                </c:pt>
                <c:pt idx="1">
                  <c:v>9374.3999999999978</c:v>
                </c:pt>
                <c:pt idx="2">
                  <c:v>0</c:v>
                </c:pt>
                <c:pt idx="3">
                  <c:v>367.2</c:v>
                </c:pt>
              </c:numCache>
            </c:numRef>
          </c:val>
          <c:extLst>
            <c:ext xmlns:c16="http://schemas.microsoft.com/office/drawing/2014/chart" uri="{C3380CC4-5D6E-409C-BE32-E72D297353CC}">
              <c16:uniqueId val="{00000000-7D70-4F0A-A6FA-3DD149978192}"/>
            </c:ext>
          </c:extLst>
        </c:ser>
        <c:ser>
          <c:idx val="1"/>
          <c:order val="1"/>
          <c:tx>
            <c:strRef>
              <c:f>Calculations!$C$1</c:f>
              <c:strCache>
                <c:ptCount val="1"/>
                <c:pt idx="0">
                  <c:v>Sum of Pork_Financial_Loss_£</c:v>
                </c:pt>
              </c:strCache>
            </c:strRef>
          </c:tx>
          <c:spPr>
            <a:solidFill>
              <a:schemeClr val="accent4"/>
            </a:solidFill>
            <a:ln>
              <a:noFill/>
            </a:ln>
            <a:effectLst/>
          </c:spPr>
          <c:invertIfNegative val="0"/>
          <c:cat>
            <c:strRef>
              <c:f>Calculations!$A$2:$A$6</c:f>
              <c:strCache>
                <c:ptCount val="4"/>
                <c:pt idx="0">
                  <c:v>Extreme Heat</c:v>
                </c:pt>
                <c:pt idx="1">
                  <c:v>Heavy Rain</c:v>
                </c:pt>
                <c:pt idx="2">
                  <c:v>Ideal BBQ Day</c:v>
                </c:pt>
                <c:pt idx="3">
                  <c:v>Normal Weekday</c:v>
                </c:pt>
              </c:strCache>
            </c:strRef>
          </c:cat>
          <c:val>
            <c:numRef>
              <c:f>Calculations!$C$2:$C$6</c:f>
              <c:numCache>
                <c:formatCode>"£"#,##0.00</c:formatCode>
                <c:ptCount val="4"/>
                <c:pt idx="0">
                  <c:v>1360</c:v>
                </c:pt>
                <c:pt idx="1">
                  <c:v>3472</c:v>
                </c:pt>
                <c:pt idx="2">
                  <c:v>0</c:v>
                </c:pt>
                <c:pt idx="3">
                  <c:v>136</c:v>
                </c:pt>
              </c:numCache>
            </c:numRef>
          </c:val>
          <c:extLst>
            <c:ext xmlns:c16="http://schemas.microsoft.com/office/drawing/2014/chart" uri="{C3380CC4-5D6E-409C-BE32-E72D297353CC}">
              <c16:uniqueId val="{00000001-7D70-4F0A-A6FA-3DD149978192}"/>
            </c:ext>
          </c:extLst>
        </c:ser>
        <c:dLbls>
          <c:showLegendKey val="0"/>
          <c:showVal val="0"/>
          <c:showCatName val="0"/>
          <c:showSerName val="0"/>
          <c:showPercent val="0"/>
          <c:showBubbleSize val="0"/>
        </c:dLbls>
        <c:gapWidth val="150"/>
        <c:overlap val="100"/>
        <c:axId val="531759391"/>
        <c:axId val="531744991"/>
      </c:barChart>
      <c:catAx>
        <c:axId val="53175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31744991"/>
        <c:crosses val="autoZero"/>
        <c:auto val="1"/>
        <c:lblAlgn val="ctr"/>
        <c:lblOffset val="100"/>
        <c:noMultiLvlLbl val="0"/>
      </c:catAx>
      <c:valAx>
        <c:axId val="5317449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59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2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ln>
                  <a:noFill/>
                </a:ln>
                <a:solidFill>
                  <a:schemeClr val="tx1">
                    <a:lumMod val="85000"/>
                    <a:lumOff val="15000"/>
                  </a:schemeClr>
                </a:solidFill>
                <a:latin typeface="+mn-lt"/>
                <a:ea typeface="+mn-ea"/>
                <a:cs typeface="+mn-cs"/>
              </a:defRPr>
            </a:pPr>
            <a:r>
              <a:rPr lang="en-GB" sz="1800" b="1" i="0" u="none" strike="noStrike" baseline="0"/>
              <a:t>Risk &amp; Opportunity</a:t>
            </a:r>
            <a:endParaRPr lang="uk-UA" sz="1800" b="1" i="0" u="none" strike="noStrike" baseline="0"/>
          </a:p>
          <a:p>
            <a:pPr>
              <a:defRPr/>
            </a:pPr>
            <a:r>
              <a:rPr lang="en-GB" sz="1800" b="1" i="0" u="none" strike="noStrike" baseline="0"/>
              <a:t>Heatwave Basket Shift (&gt;30°C)</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ln>
                <a:noFill/>
              </a:ln>
              <a:solidFill>
                <a:schemeClr val="tx1">
                  <a:lumMod val="85000"/>
                  <a:lumOff val="15000"/>
                </a:schemeClr>
              </a:solidFill>
              <a:latin typeface="+mn-lt"/>
              <a:ea typeface="+mn-ea"/>
              <a:cs typeface="+mn-cs"/>
            </a:defRPr>
          </a:pPr>
          <a:endParaRPr lang="uk-UA"/>
        </a:p>
      </c:txPr>
    </c:title>
    <c:autoTitleDeleted val="0"/>
    <c:plotArea>
      <c:layout/>
      <c:barChart>
        <c:barDir val="col"/>
        <c:grouping val="clustered"/>
        <c:varyColors val="0"/>
        <c:ser>
          <c:idx val="0"/>
          <c:order val="0"/>
          <c:tx>
            <c:strRef>
              <c:f>Calculations!$B$24</c:f>
              <c:strCache>
                <c:ptCount val="1"/>
                <c:pt idx="0">
                  <c:v>Demand Change (Extreme Heat)</c:v>
                </c:pt>
              </c:strCache>
            </c:strRef>
          </c:tx>
          <c:spPr>
            <a:solidFill>
              <a:srgbClr val="00B050">
                <a:alpha val="84706"/>
              </a:srgbClr>
            </a:solidFill>
            <a:ln w="9525" cap="flat" cmpd="sng" algn="ctr">
              <a:solidFill>
                <a:schemeClr val="lt1">
                  <a:alpha val="50000"/>
                </a:schemeClr>
              </a:solidFill>
              <a:round/>
            </a:ln>
            <a:effectLst/>
          </c:spPr>
          <c:invertIfNegative val="1"/>
          <c:dPt>
            <c:idx val="1"/>
            <c:invertIfNegative val="1"/>
            <c:bubble3D val="0"/>
            <c:extLst>
              <c:ext xmlns:c16="http://schemas.microsoft.com/office/drawing/2014/chart" uri="{C3380CC4-5D6E-409C-BE32-E72D297353CC}">
                <c16:uniqueId val="{00000001-046D-4254-9929-081EB2F04D05}"/>
              </c:ext>
            </c:extLst>
          </c:dPt>
          <c:dLbls>
            <c:spPr>
              <a:noFill/>
              <a:ln>
                <a:noFill/>
              </a:ln>
              <a:effectLst/>
            </c:spPr>
            <c:txPr>
              <a:bodyPr rot="0" spcFirstLastPara="1" vertOverflow="ellipsis" vert="horz" wrap="square" anchor="ctr" anchorCtr="1"/>
              <a:lstStyle/>
              <a:p>
                <a:pPr>
                  <a:defRPr sz="1100" b="1" i="0" u="none" strike="noStrike" kern="1200" baseline="0">
                    <a:ln>
                      <a:noFill/>
                    </a:ln>
                    <a:solidFill>
                      <a:schemeClr val="tx1">
                        <a:lumMod val="85000"/>
                        <a:lumOff val="1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Calculations!$A$25:$A$28</c:f>
              <c:strCache>
                <c:ptCount val="4"/>
                <c:pt idx="0">
                  <c:v>Beef &amp; Pork</c:v>
                </c:pt>
                <c:pt idx="1">
                  <c:v>Soft Drinks</c:v>
                </c:pt>
                <c:pt idx="2">
                  <c:v>Ice Cream</c:v>
                </c:pt>
                <c:pt idx="3">
                  <c:v>Bagged Ice</c:v>
                </c:pt>
              </c:strCache>
            </c:strRef>
          </c:cat>
          <c:val>
            <c:numRef>
              <c:f>Calculations!$B$25:$B$28</c:f>
              <c:numCache>
                <c:formatCode>0%</c:formatCode>
                <c:ptCount val="4"/>
                <c:pt idx="0">
                  <c:v>-0.85</c:v>
                </c:pt>
                <c:pt idx="1">
                  <c:v>2.4</c:v>
                </c:pt>
                <c:pt idx="2">
                  <c:v>3.1</c:v>
                </c:pt>
                <c:pt idx="3">
                  <c:v>4.5</c:v>
                </c:pt>
              </c:numCache>
            </c:numRef>
          </c:val>
          <c:extLst>
            <c:ext xmlns:c14="http://schemas.microsoft.com/office/drawing/2007/8/2/chart" uri="{6F2FDCE9-48DA-4B69-8628-5D25D57E5C99}">
              <c14:invertSolidFillFmt>
                <c14:spPr xmlns:c14="http://schemas.microsoft.com/office/drawing/2007/8/2/chart">
                  <a:solidFill>
                    <a:srgbClr val="ED7D31"/>
                  </a:solidFill>
                  <a:ln w="9525" cap="flat" cmpd="sng" algn="ctr">
                    <a:solidFill>
                      <a:schemeClr val="lt1">
                        <a:alpha val="50000"/>
                      </a:schemeClr>
                    </a:solidFill>
                    <a:round/>
                  </a:ln>
                  <a:effectLst/>
                </c14:spPr>
              </c14:invertSolidFillFmt>
            </c:ext>
            <c:ext xmlns:c16="http://schemas.microsoft.com/office/drawing/2014/chart" uri="{C3380CC4-5D6E-409C-BE32-E72D297353CC}">
              <c16:uniqueId val="{00000000-046D-4254-9929-081EB2F04D05}"/>
            </c:ext>
          </c:extLst>
        </c:ser>
        <c:dLbls>
          <c:dLblPos val="inEnd"/>
          <c:showLegendKey val="0"/>
          <c:showVal val="1"/>
          <c:showCatName val="0"/>
          <c:showSerName val="0"/>
          <c:showPercent val="0"/>
          <c:showBubbleSize val="0"/>
        </c:dLbls>
        <c:gapWidth val="65"/>
        <c:axId val="490353263"/>
        <c:axId val="490359503"/>
      </c:barChart>
      <c:catAx>
        <c:axId val="490353263"/>
        <c:scaling>
          <c:orientation val="minMax"/>
        </c:scaling>
        <c:delete val="0"/>
        <c:axPos val="b"/>
        <c:numFmt formatCode="General" sourceLinked="1"/>
        <c:majorTickMark val="none"/>
        <c:minorTickMark val="none"/>
        <c:tickLblPos val="low"/>
        <c:spPr>
          <a:noFill/>
          <a:ln w="25400" cap="flat" cmpd="sng" algn="ctr">
            <a:solidFill>
              <a:schemeClr val="tx2"/>
            </a:solidFill>
            <a:round/>
          </a:ln>
          <a:effectLst/>
        </c:spPr>
        <c:txPr>
          <a:bodyPr rot="-60000000" spcFirstLastPara="1" vertOverflow="ellipsis" vert="horz" wrap="square" anchor="ctr" anchorCtr="1"/>
          <a:lstStyle/>
          <a:p>
            <a:pPr>
              <a:defRPr sz="1100" b="0" i="0" u="none" strike="noStrike" kern="1200" cap="all" baseline="0">
                <a:ln>
                  <a:solidFill>
                    <a:schemeClr val="tx1">
                      <a:alpha val="32000"/>
                    </a:schemeClr>
                  </a:solidFill>
                </a:ln>
                <a:solidFill>
                  <a:schemeClr val="tx1">
                    <a:lumMod val="85000"/>
                    <a:lumOff val="15000"/>
                  </a:schemeClr>
                </a:solidFill>
                <a:latin typeface="+mn-lt"/>
                <a:ea typeface="+mn-ea"/>
                <a:cs typeface="+mn-cs"/>
              </a:defRPr>
            </a:pPr>
            <a:endParaRPr lang="en-US"/>
          </a:p>
        </c:txPr>
        <c:crossAx val="490359503"/>
        <c:crosses val="autoZero"/>
        <c:auto val="1"/>
        <c:lblAlgn val="ctr"/>
        <c:lblOffset val="0"/>
        <c:noMultiLvlLbl val="0"/>
      </c:catAx>
      <c:valAx>
        <c:axId val="490359503"/>
        <c:scaling>
          <c:orientation val="minMax"/>
        </c:scaling>
        <c:delete val="1"/>
        <c:axPos val="l"/>
        <c:numFmt formatCode="0%" sourceLinked="1"/>
        <c:majorTickMark val="none"/>
        <c:minorTickMark val="none"/>
        <c:tickLblPos val="nextTo"/>
        <c:crossAx val="4903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6F2FF"/>
    </a:solidFill>
    <a:ln w="9525" cap="flat" cmpd="sng" algn="ctr">
      <a:solidFill>
        <a:schemeClr val="dk1">
          <a:lumMod val="25000"/>
          <a:lumOff val="75000"/>
        </a:schemeClr>
      </a:solidFill>
      <a:round/>
    </a:ln>
    <a:effectLst/>
  </c:spPr>
  <c:txPr>
    <a:bodyPr rot="0" vert="horz" anchor="t" anchorCtr="1"/>
    <a:lstStyle/>
    <a:p>
      <a:pPr>
        <a:defRPr>
          <a:ln>
            <a:noFill/>
          </a:ln>
          <a:solidFill>
            <a:schemeClr val="tx1">
              <a:lumMod val="85000"/>
              <a:lumOff val="15000"/>
            </a:schemeClr>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200" b="1" i="0" u="none" strike="noStrike" baseline="0"/>
              <a:t>Financial ROI: Supply Chain Integration with Weather Forecasting</a:t>
            </a:r>
            <a:endParaRPr lang="en-GB" sz="1200" b="1"/>
          </a:p>
        </c:rich>
      </c:tx>
      <c:layout>
        <c:manualLayout>
          <c:xMode val="edge"/>
          <c:yMode val="edge"/>
          <c:x val="0.1413731462579523"/>
          <c:y val="3.65337091328192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5078937007874016"/>
          <c:y val="0.17171296296296298"/>
          <c:w val="0.82698840769903759"/>
          <c:h val="0.6149843248760571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C3300"/>
              </a:solidFill>
              <a:ln>
                <a:noFill/>
              </a:ln>
              <a:effectLst/>
            </c:spPr>
            <c:extLst>
              <c:ext xmlns:c16="http://schemas.microsoft.com/office/drawing/2014/chart" uri="{C3380CC4-5D6E-409C-BE32-E72D297353CC}">
                <c16:uniqueId val="{00000002-CC14-4E55-8A5B-C56C734E4C4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CC14-4E55-8A5B-C56C734E4C4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Calculations!$A$39:$A$40</c:f>
              <c:strCache>
                <c:ptCount val="2"/>
                <c:pt idx="0">
                  <c:v>Traditional Sourcing (Blind)</c:v>
                </c:pt>
                <c:pt idx="1">
                  <c:v>Smart Sourcing (With Forecast)</c:v>
                </c:pt>
              </c:strCache>
            </c:strRef>
          </c:cat>
          <c:val>
            <c:numRef>
              <c:f>Calculations!$B$39:$B$40</c:f>
              <c:numCache>
                <c:formatCode>"£"#,##0.00_);[Red]\("£"#,##0.00\)</c:formatCode>
                <c:ptCount val="2"/>
                <c:pt idx="0">
                  <c:v>5032</c:v>
                </c:pt>
                <c:pt idx="1">
                  <c:v>754.8</c:v>
                </c:pt>
              </c:numCache>
            </c:numRef>
          </c:val>
          <c:extLst>
            <c:ext xmlns:c16="http://schemas.microsoft.com/office/drawing/2014/chart" uri="{C3380CC4-5D6E-409C-BE32-E72D297353CC}">
              <c16:uniqueId val="{00000000-CC14-4E55-8A5B-C56C734E4C4D}"/>
            </c:ext>
          </c:extLst>
        </c:ser>
        <c:ser>
          <c:idx val="1"/>
          <c:order val="1"/>
          <c:spPr>
            <a:solidFill>
              <a:schemeClr val="accent2"/>
            </a:solidFill>
            <a:ln>
              <a:noFill/>
            </a:ln>
            <a:effectLst/>
          </c:spPr>
          <c:invertIfNegative val="0"/>
          <c:cat>
            <c:strRef>
              <c:f>Calculations!$A$39:$A$40</c:f>
              <c:strCache>
                <c:ptCount val="2"/>
                <c:pt idx="0">
                  <c:v>Traditional Sourcing (Blind)</c:v>
                </c:pt>
                <c:pt idx="1">
                  <c:v>Smart Sourcing (With Forecast)</c:v>
                </c:pt>
              </c:strCache>
            </c:strRef>
          </c:cat>
          <c:val>
            <c:numRef>
              <c:f>Calculations!$C$39:$C$40</c:f>
              <c:numCache>
                <c:formatCode>General</c:formatCode>
                <c:ptCount val="2"/>
                <c:pt idx="0">
                  <c:v>0</c:v>
                </c:pt>
                <c:pt idx="1">
                  <c:v>0</c:v>
                </c:pt>
              </c:numCache>
            </c:numRef>
          </c:val>
          <c:extLst>
            <c:ext xmlns:c16="http://schemas.microsoft.com/office/drawing/2014/chart" uri="{C3380CC4-5D6E-409C-BE32-E72D297353CC}">
              <c16:uniqueId val="{00000001-CC14-4E55-8A5B-C56C734E4C4D}"/>
            </c:ext>
          </c:extLst>
        </c:ser>
        <c:dLbls>
          <c:showLegendKey val="0"/>
          <c:showVal val="0"/>
          <c:showCatName val="0"/>
          <c:showSerName val="0"/>
          <c:showPercent val="0"/>
          <c:showBubbleSize val="0"/>
        </c:dLbls>
        <c:gapWidth val="162"/>
        <c:overlap val="1"/>
        <c:axId val="531758431"/>
        <c:axId val="531749311"/>
      </c:barChart>
      <c:catAx>
        <c:axId val="53175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ln>
                  <a:solidFill>
                    <a:schemeClr val="tx2">
                      <a:alpha val="55000"/>
                    </a:schemeClr>
                  </a:solidFill>
                </a:ln>
                <a:solidFill>
                  <a:schemeClr val="tx1">
                    <a:lumMod val="65000"/>
                    <a:lumOff val="35000"/>
                  </a:schemeClr>
                </a:solidFill>
                <a:latin typeface="+mn-lt"/>
                <a:ea typeface="+mn-ea"/>
                <a:cs typeface="+mn-cs"/>
              </a:defRPr>
            </a:pPr>
            <a:endParaRPr lang="en-US"/>
          </a:p>
        </c:txPr>
        <c:crossAx val="531749311"/>
        <c:crosses val="autoZero"/>
        <c:auto val="1"/>
        <c:lblAlgn val="ctr"/>
        <c:lblOffset val="100"/>
        <c:noMultiLvlLbl val="0"/>
      </c:catAx>
      <c:valAx>
        <c:axId val="531749311"/>
        <c:scaling>
          <c:orientation val="minMax"/>
        </c:scaling>
        <c:delete val="0"/>
        <c:axPos val="l"/>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758431"/>
        <c:crosses val="autoZero"/>
        <c:crossBetween val="between"/>
      </c:valAx>
      <c:spPr>
        <a:solidFill>
          <a:srgbClr val="E6F2FF"/>
        </a:solidFill>
        <a:ln w="0">
          <a:solidFill>
            <a:schemeClr val="tx2"/>
          </a:solidFill>
        </a:ln>
        <a:effectLst/>
      </c:spPr>
    </c:plotArea>
    <c:plotVisOnly val="1"/>
    <c:dispBlanksAs val="gap"/>
    <c:showDLblsOverMax val="0"/>
  </c:chart>
  <c:spPr>
    <a:solidFill>
      <a:srgbClr val="E6F2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0</xdr:col>
      <xdr:colOff>143435</xdr:colOff>
      <xdr:row>21</xdr:row>
      <xdr:rowOff>13897</xdr:rowOff>
    </xdr:from>
    <xdr:to>
      <xdr:col>2</xdr:col>
      <xdr:colOff>1850315</xdr:colOff>
      <xdr:row>33</xdr:row>
      <xdr:rowOff>59840</xdr:rowOff>
    </xdr:to>
    <xdr:graphicFrame macro="">
      <xdr:nvGraphicFramePr>
        <xdr:cNvPr id="2" name="Chart 1">
          <a:extLst>
            <a:ext uri="{FF2B5EF4-FFF2-40B4-BE49-F238E27FC236}">
              <a16:creationId xmlns:a16="http://schemas.microsoft.com/office/drawing/2014/main" id="{F06990C3-783F-045F-A065-509A1AA4F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36000</xdr:colOff>
      <xdr:row>6</xdr:row>
      <xdr:rowOff>76235</xdr:rowOff>
    </xdr:from>
    <xdr:to>
      <xdr:col>2</xdr:col>
      <xdr:colOff>1272141</xdr:colOff>
      <xdr:row>10</xdr:row>
      <xdr:rowOff>7059</xdr:rowOff>
    </xdr:to>
    <mc:AlternateContent xmlns:mc="http://schemas.openxmlformats.org/markup-compatibility/2006">
      <mc:Choice xmlns:a14="http://schemas.microsoft.com/office/drawing/2010/main" Requires="a14">
        <xdr:graphicFrame macro="">
          <xdr:nvGraphicFramePr>
            <xdr:cNvPr id="3" name="Is_Weekend_or_BH">
              <a:extLst>
                <a:ext uri="{FF2B5EF4-FFF2-40B4-BE49-F238E27FC236}">
                  <a16:creationId xmlns:a16="http://schemas.microsoft.com/office/drawing/2014/main" id="{ECE7C107-ED75-2FA8-7DFE-5A15F0C6FC04}"/>
                </a:ext>
              </a:extLst>
            </xdr:cNvPr>
            <xdr:cNvGraphicFramePr/>
          </xdr:nvGraphicFramePr>
          <xdr:xfrm>
            <a:off x="0" y="0"/>
            <a:ext cx="0" cy="0"/>
          </xdr:xfrm>
          <a:graphic>
            <a:graphicData uri="http://schemas.microsoft.com/office/drawing/2010/slicer">
              <sle:slicer xmlns:sle="http://schemas.microsoft.com/office/drawing/2010/slicer" name="Is_Weekend_or_BH"/>
            </a:graphicData>
          </a:graphic>
        </xdr:graphicFrame>
      </mc:Choice>
      <mc:Fallback>
        <xdr:sp macro="" textlink="">
          <xdr:nvSpPr>
            <xdr:cNvPr id="0" name=""/>
            <xdr:cNvSpPr>
              <a:spLocks noTextEdit="1"/>
            </xdr:cNvSpPr>
          </xdr:nvSpPr>
          <xdr:spPr>
            <a:xfrm>
              <a:off x="36000" y="1152000"/>
              <a:ext cx="4320000" cy="6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117885</xdr:colOff>
      <xdr:row>6</xdr:row>
      <xdr:rowOff>76235</xdr:rowOff>
    </xdr:from>
    <xdr:to>
      <xdr:col>19</xdr:col>
      <xdr:colOff>141885</xdr:colOff>
      <xdr:row>10</xdr:row>
      <xdr:rowOff>7059</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EECA825-1F7C-830B-4151-81A4BB98F7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12261" y="1152000"/>
              <a:ext cx="6120000" cy="6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1363532</xdr:colOff>
      <xdr:row>6</xdr:row>
      <xdr:rowOff>76235</xdr:rowOff>
    </xdr:from>
    <xdr:to>
      <xdr:col>8</xdr:col>
      <xdr:colOff>582615</xdr:colOff>
      <xdr:row>10</xdr:row>
      <xdr:rowOff>7059</xdr:rowOff>
    </xdr:to>
    <mc:AlternateContent xmlns:mc="http://schemas.openxmlformats.org/markup-compatibility/2006">
      <mc:Choice xmlns:a14="http://schemas.microsoft.com/office/drawing/2010/main" Requires="a14">
        <xdr:graphicFrame macro="">
          <xdr:nvGraphicFramePr>
            <xdr:cNvPr id="5" name="Month_Filter">
              <a:extLst>
                <a:ext uri="{FF2B5EF4-FFF2-40B4-BE49-F238E27FC236}">
                  <a16:creationId xmlns:a16="http://schemas.microsoft.com/office/drawing/2014/main" id="{C21D9545-87E4-2BC1-7560-F4F7FFBF7CCA}"/>
                </a:ext>
              </a:extLst>
            </xdr:cNvPr>
            <xdr:cNvGraphicFramePr/>
          </xdr:nvGraphicFramePr>
          <xdr:xfrm>
            <a:off x="0" y="0"/>
            <a:ext cx="0" cy="0"/>
          </xdr:xfrm>
          <a:graphic>
            <a:graphicData uri="http://schemas.microsoft.com/office/drawing/2010/slicer">
              <sle:slicer xmlns:sle="http://schemas.microsoft.com/office/drawing/2010/slicer" name="Month_Filter"/>
            </a:graphicData>
          </a:graphic>
        </xdr:graphicFrame>
      </mc:Choice>
      <mc:Fallback>
        <xdr:sp macro="" textlink="">
          <xdr:nvSpPr>
            <xdr:cNvPr id="0" name=""/>
            <xdr:cNvSpPr>
              <a:spLocks noTextEdit="1"/>
            </xdr:cNvSpPr>
          </xdr:nvSpPr>
          <xdr:spPr>
            <a:xfrm>
              <a:off x="4447391" y="1152000"/>
              <a:ext cx="4320000" cy="64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1929652</xdr:colOff>
      <xdr:row>15</xdr:row>
      <xdr:rowOff>2241</xdr:rowOff>
    </xdr:from>
    <xdr:to>
      <xdr:col>2</xdr:col>
      <xdr:colOff>2045699</xdr:colOff>
      <xdr:row>19</xdr:row>
      <xdr:rowOff>5065</xdr:rowOff>
    </xdr:to>
    <xdr:sp macro="" textlink="#REF!">
      <xdr:nvSpPr>
        <xdr:cNvPr id="8" name="Rectangle: Rounded Corners 7">
          <a:extLst>
            <a:ext uri="{FF2B5EF4-FFF2-40B4-BE49-F238E27FC236}">
              <a16:creationId xmlns:a16="http://schemas.microsoft.com/office/drawing/2014/main" id="{3A146527-4BC7-FA6F-10FC-F8983DF8B78E}"/>
            </a:ext>
          </a:extLst>
        </xdr:cNvPr>
        <xdr:cNvSpPr/>
      </xdr:nvSpPr>
      <xdr:spPr>
        <a:xfrm>
          <a:off x="2969558" y="2691653"/>
          <a:ext cx="2160000" cy="720000"/>
        </a:xfrm>
        <a:prstGeom prst="roundRect">
          <a:avLst/>
        </a:prstGeom>
        <a:solidFill>
          <a:srgbClr val="FF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2C2C04-4CE5-4F53-A926-D46ACB027E41}" type="TxLink">
            <a:rPr lang="en-US" sz="1600" b="1" i="0" u="none" strike="noStrike">
              <a:solidFill>
                <a:srgbClr val="000000"/>
              </a:solidFill>
              <a:latin typeface="Calibri"/>
              <a:ea typeface="ADLaM Display" panose="020F0502020204030204" pitchFamily="2" charset="0"/>
              <a:cs typeface="Calibri"/>
            </a:rPr>
            <a:pPr algn="ctr"/>
            <a:t>£718.86</a:t>
          </a:fld>
          <a:endParaRPr lang="en-GB" sz="1600" b="1" i="0">
            <a:solidFill>
              <a:srgbClr val="00008B"/>
            </a:solidFill>
          </a:endParaRPr>
        </a:p>
      </xdr:txBody>
    </xdr:sp>
    <xdr:clientData/>
  </xdr:twoCellAnchor>
  <xdr:twoCellAnchor>
    <xdr:from>
      <xdr:col>1</xdr:col>
      <xdr:colOff>1910379</xdr:colOff>
      <xdr:row>10</xdr:row>
      <xdr:rowOff>126850</xdr:rowOff>
    </xdr:from>
    <xdr:to>
      <xdr:col>2</xdr:col>
      <xdr:colOff>2026426</xdr:colOff>
      <xdr:row>14</xdr:row>
      <xdr:rowOff>129673</xdr:rowOff>
    </xdr:to>
    <xdr:sp macro="" textlink="">
      <xdr:nvSpPr>
        <xdr:cNvPr id="9" name="Rectangle: Rounded Corners 8">
          <a:extLst>
            <a:ext uri="{FF2B5EF4-FFF2-40B4-BE49-F238E27FC236}">
              <a16:creationId xmlns:a16="http://schemas.microsoft.com/office/drawing/2014/main" id="{DA25A933-AD7C-4EF1-AF6B-52E1CE6AA8AA}"/>
            </a:ext>
          </a:extLst>
        </xdr:cNvPr>
        <xdr:cNvSpPr/>
      </xdr:nvSpPr>
      <xdr:spPr>
        <a:xfrm>
          <a:off x="2950285" y="1919791"/>
          <a:ext cx="2160000" cy="720000"/>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Avg. Loss per Extreme Heat Bank Holiday</a:t>
          </a:r>
          <a:endParaRPr lang="en-GB" sz="1400" b="1"/>
        </a:p>
      </xdr:txBody>
    </xdr:sp>
    <xdr:clientData/>
  </xdr:twoCellAnchor>
  <xdr:twoCellAnchor>
    <xdr:from>
      <xdr:col>3</xdr:col>
      <xdr:colOff>387722</xdr:colOff>
      <xdr:row>15</xdr:row>
      <xdr:rowOff>29135</xdr:rowOff>
    </xdr:from>
    <xdr:to>
      <xdr:col>7</xdr:col>
      <xdr:colOff>109322</xdr:colOff>
      <xdr:row>19</xdr:row>
      <xdr:rowOff>31959</xdr:rowOff>
    </xdr:to>
    <xdr:sp macro="" textlink="#REF!">
      <xdr:nvSpPr>
        <xdr:cNvPr id="11" name="Rectangle: Rounded Corners 10">
          <a:extLst>
            <a:ext uri="{FF2B5EF4-FFF2-40B4-BE49-F238E27FC236}">
              <a16:creationId xmlns:a16="http://schemas.microsoft.com/office/drawing/2014/main" id="{8AE0C949-39B8-4750-9208-788CAD941312}"/>
            </a:ext>
          </a:extLst>
        </xdr:cNvPr>
        <xdr:cNvSpPr/>
      </xdr:nvSpPr>
      <xdr:spPr>
        <a:xfrm>
          <a:off x="5524498" y="2718547"/>
          <a:ext cx="2160000" cy="7200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CA2FBB-58C9-4AD9-856A-64FA608819C1}" type="TxLink">
            <a:rPr lang="en-US" sz="1400" b="1" i="0" u="none" strike="noStrike">
              <a:solidFill>
                <a:srgbClr val="000000"/>
              </a:solidFill>
              <a:latin typeface="Calibri"/>
              <a:ea typeface="ADLaM Display" panose="020F0502020204030204" pitchFamily="2" charset="0"/>
              <a:cs typeface="Calibri"/>
            </a:rPr>
            <a:pPr algn="ctr"/>
            <a:t>£676.13</a:t>
          </a:fld>
          <a:endParaRPr lang="en-GB" sz="1400" b="1" i="0">
            <a:solidFill>
              <a:srgbClr val="00008B"/>
            </a:solidFill>
          </a:endParaRPr>
        </a:p>
      </xdr:txBody>
    </xdr:sp>
    <xdr:clientData/>
  </xdr:twoCellAnchor>
  <xdr:twoCellAnchor>
    <xdr:from>
      <xdr:col>3</xdr:col>
      <xdr:colOff>368450</xdr:colOff>
      <xdr:row>10</xdr:row>
      <xdr:rowOff>121919</xdr:rowOff>
    </xdr:from>
    <xdr:to>
      <xdr:col>7</xdr:col>
      <xdr:colOff>90050</xdr:colOff>
      <xdr:row>14</xdr:row>
      <xdr:rowOff>124742</xdr:rowOff>
    </xdr:to>
    <xdr:sp macro="" textlink="">
      <xdr:nvSpPr>
        <xdr:cNvPr id="16" name="Rectangle: Rounded Corners 15">
          <a:extLst>
            <a:ext uri="{FF2B5EF4-FFF2-40B4-BE49-F238E27FC236}">
              <a16:creationId xmlns:a16="http://schemas.microsoft.com/office/drawing/2014/main" id="{159EE3F5-379B-449D-8EAD-EA882FFEDB99}"/>
            </a:ext>
          </a:extLst>
        </xdr:cNvPr>
        <xdr:cNvSpPr/>
      </xdr:nvSpPr>
      <xdr:spPr>
        <a:xfrm>
          <a:off x="5505226" y="1914860"/>
          <a:ext cx="2160000" cy="7200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Avg. Loss per Heavy Rain</a:t>
          </a:r>
        </a:p>
        <a:p>
          <a:pPr algn="ctr"/>
          <a:r>
            <a:rPr lang="en-GB" sz="1400"/>
            <a:t>Bank Holiday</a:t>
          </a:r>
          <a:endParaRPr lang="en-GB" sz="1400" b="1"/>
        </a:p>
      </xdr:txBody>
    </xdr:sp>
    <xdr:clientData/>
  </xdr:twoCellAnchor>
  <xdr:twoCellAnchor>
    <xdr:from>
      <xdr:col>7</xdr:col>
      <xdr:colOff>417307</xdr:colOff>
      <xdr:row>10</xdr:row>
      <xdr:rowOff>137160</xdr:rowOff>
    </xdr:from>
    <xdr:to>
      <xdr:col>11</xdr:col>
      <xdr:colOff>138907</xdr:colOff>
      <xdr:row>14</xdr:row>
      <xdr:rowOff>139983</xdr:rowOff>
    </xdr:to>
    <xdr:sp macro="" textlink="">
      <xdr:nvSpPr>
        <xdr:cNvPr id="17" name="Rectangle: Rounded Corners 16">
          <a:extLst>
            <a:ext uri="{FF2B5EF4-FFF2-40B4-BE49-F238E27FC236}">
              <a16:creationId xmlns:a16="http://schemas.microsoft.com/office/drawing/2014/main" id="{A6946D6B-CCBC-4E7F-83A4-D33D1585DA0E}"/>
            </a:ext>
          </a:extLst>
        </xdr:cNvPr>
        <xdr:cNvSpPr/>
      </xdr:nvSpPr>
      <xdr:spPr>
        <a:xfrm>
          <a:off x="7992483" y="1930101"/>
          <a:ext cx="2160000" cy="720000"/>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a:t>Avg. Loss per Standard Weekend</a:t>
          </a:r>
          <a:endParaRPr lang="en-GB" sz="1400" b="1"/>
        </a:p>
      </xdr:txBody>
    </xdr:sp>
    <xdr:clientData/>
  </xdr:twoCellAnchor>
  <xdr:twoCellAnchor>
    <xdr:from>
      <xdr:col>7</xdr:col>
      <xdr:colOff>440166</xdr:colOff>
      <xdr:row>15</xdr:row>
      <xdr:rowOff>45720</xdr:rowOff>
    </xdr:from>
    <xdr:to>
      <xdr:col>11</xdr:col>
      <xdr:colOff>161766</xdr:colOff>
      <xdr:row>19</xdr:row>
      <xdr:rowOff>48544</xdr:rowOff>
    </xdr:to>
    <xdr:sp macro="" textlink="#REF!">
      <xdr:nvSpPr>
        <xdr:cNvPr id="18" name="Rectangle: Rounded Corners 17">
          <a:extLst>
            <a:ext uri="{FF2B5EF4-FFF2-40B4-BE49-F238E27FC236}">
              <a16:creationId xmlns:a16="http://schemas.microsoft.com/office/drawing/2014/main" id="{83490212-FA82-4587-A9CB-E59471C54590}"/>
            </a:ext>
          </a:extLst>
        </xdr:cNvPr>
        <xdr:cNvSpPr/>
      </xdr:nvSpPr>
      <xdr:spPr>
        <a:xfrm>
          <a:off x="8015342" y="2735132"/>
          <a:ext cx="2160000" cy="720000"/>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DB69A2-C013-49D4-9BE5-BD87DE79EFE1}" type="TxLink">
            <a:rPr lang="en-US" sz="1400" b="1" i="0" u="none" strike="noStrike">
              <a:solidFill>
                <a:srgbClr val="000000"/>
              </a:solidFill>
              <a:latin typeface="Calibri"/>
              <a:cs typeface="Calibri"/>
            </a:rPr>
            <a:pPr algn="ctr"/>
            <a:t>£4.38</a:t>
          </a:fld>
          <a:endParaRPr lang="en-US" sz="1400" b="1" i="0" u="none" strike="noStrike">
            <a:solidFill>
              <a:srgbClr val="000000"/>
            </a:solidFill>
            <a:latin typeface="Calibri"/>
            <a:cs typeface="Calibri"/>
          </a:endParaRPr>
        </a:p>
      </xdr:txBody>
    </xdr:sp>
    <xdr:clientData/>
  </xdr:twoCellAnchor>
  <xdr:twoCellAnchor>
    <xdr:from>
      <xdr:col>2</xdr:col>
      <xdr:colOff>1926515</xdr:colOff>
      <xdr:row>21</xdr:row>
      <xdr:rowOff>10085</xdr:rowOff>
    </xdr:from>
    <xdr:to>
      <xdr:col>10</xdr:col>
      <xdr:colOff>181535</xdr:colOff>
      <xdr:row>33</xdr:row>
      <xdr:rowOff>78888</xdr:rowOff>
    </xdr:to>
    <xdr:graphicFrame macro="">
      <xdr:nvGraphicFramePr>
        <xdr:cNvPr id="20" name="Chart 19">
          <a:extLst>
            <a:ext uri="{FF2B5EF4-FFF2-40B4-BE49-F238E27FC236}">
              <a16:creationId xmlns:a16="http://schemas.microsoft.com/office/drawing/2014/main" id="{366E7C89-A733-5BC4-DD5B-DBE4B2541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264011</xdr:colOff>
      <xdr:row>21</xdr:row>
      <xdr:rowOff>11431</xdr:rowOff>
    </xdr:from>
    <xdr:to>
      <xdr:col>19</xdr:col>
      <xdr:colOff>332591</xdr:colOff>
      <xdr:row>33</xdr:row>
      <xdr:rowOff>80234</xdr:rowOff>
    </xdr:to>
    <xdr:graphicFrame macro="">
      <xdr:nvGraphicFramePr>
        <xdr:cNvPr id="21" name="Chart 20">
          <a:extLst>
            <a:ext uri="{FF2B5EF4-FFF2-40B4-BE49-F238E27FC236}">
              <a16:creationId xmlns:a16="http://schemas.microsoft.com/office/drawing/2014/main" id="{E0909C88-AAE4-C56D-B121-DF6E6A0EA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228120</xdr:colOff>
      <xdr:row>2</xdr:row>
      <xdr:rowOff>136800</xdr:rowOff>
    </xdr:from>
    <xdr:to>
      <xdr:col>3</xdr:col>
      <xdr:colOff>228480</xdr:colOff>
      <xdr:row>2</xdr:row>
      <xdr:rowOff>137160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4">
          <xdr14:nvContentPartPr>
            <xdr14:cNvPr id="23" name="Ink 22">
              <a:extLst>
                <a:ext uri="{FF2B5EF4-FFF2-40B4-BE49-F238E27FC236}">
                  <a16:creationId xmlns:a16="http://schemas.microsoft.com/office/drawing/2014/main" id="{61DE86C3-28C0-1CCD-8AF2-BACA03FC7ED1}"/>
                </a:ext>
              </a:extLst>
            </xdr14:cNvPr>
            <xdr14:cNvContentPartPr/>
          </xdr14:nvContentPartPr>
          <xdr14:nvPr macro=""/>
          <xdr14:xfrm>
            <a:off x="5364000" y="502560"/>
            <a:ext cx="360" cy="360"/>
          </xdr14:xfrm>
        </xdr:contentPart>
      </mc:Choice>
      <mc:Fallback xmlns="">
        <xdr:pic>
          <xdr:nvPicPr>
            <xdr:cNvPr id="23" name="Ink 22">
              <a:extLst>
                <a:ext uri="{FF2B5EF4-FFF2-40B4-BE49-F238E27FC236}">
                  <a16:creationId xmlns:a16="http://schemas.microsoft.com/office/drawing/2014/main" id="{61DE86C3-28C0-1CCD-8AF2-BACA03FC7ED1}"/>
                </a:ext>
              </a:extLst>
            </xdr:cNvPr>
            <xdr:cNvPicPr/>
          </xdr:nvPicPr>
          <xdr:blipFill>
            <a:blip xmlns:r="http://schemas.openxmlformats.org/officeDocument/2006/relationships" r:embed="rId5"/>
            <a:stretch>
              <a:fillRect/>
            </a:stretch>
          </xdr:blipFill>
          <xdr:spPr>
            <a:xfrm>
              <a:off x="5355360" y="493560"/>
              <a:ext cx="18000" cy="18000"/>
            </a:xfrm>
            <a:prstGeom prst="rect">
              <a:avLst/>
            </a:prstGeom>
          </xdr:spPr>
        </xdr:pic>
      </mc:Fallback>
    </mc:AlternateContent>
    <xdr:clientData/>
  </xdr:twoCellAnchor>
  <xdr:twoCellAnchor>
    <xdr:from>
      <xdr:col>0</xdr:col>
      <xdr:colOff>0</xdr:colOff>
      <xdr:row>0</xdr:row>
      <xdr:rowOff>0</xdr:rowOff>
    </xdr:from>
    <xdr:to>
      <xdr:col>19</xdr:col>
      <xdr:colOff>518160</xdr:colOff>
      <xdr:row>5</xdr:row>
      <xdr:rowOff>89647</xdr:rowOff>
    </xdr:to>
    <xdr:sp macro="" textlink="">
      <xdr:nvSpPr>
        <xdr:cNvPr id="24" name="TextBox 23">
          <a:extLst>
            <a:ext uri="{FF2B5EF4-FFF2-40B4-BE49-F238E27FC236}">
              <a16:creationId xmlns:a16="http://schemas.microsoft.com/office/drawing/2014/main" id="{C03CEBDC-2042-AD08-BDC8-073593BFB171}"/>
            </a:ext>
          </a:extLst>
        </xdr:cNvPr>
        <xdr:cNvSpPr txBox="1"/>
      </xdr:nvSpPr>
      <xdr:spPr>
        <a:xfrm>
          <a:off x="0" y="0"/>
          <a:ext cx="15408536" cy="986118"/>
        </a:xfrm>
        <a:prstGeom prst="rect">
          <a:avLst/>
        </a:prstGeom>
        <a:solidFill>
          <a:srgbClr val="FFC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solidFill>
                <a:schemeClr val="tx1"/>
              </a:solidFill>
            </a:rPr>
            <a:t>Weather-Driven FMCG Supply Chain &amp; Margin Analytics</a:t>
          </a:r>
        </a:p>
      </xdr:txBody>
    </xdr:sp>
    <xdr:clientData/>
  </xdr:twoCellAnchor>
  <xdr:twoCellAnchor editAs="oneCell">
    <xdr:from>
      <xdr:col>1</xdr:col>
      <xdr:colOff>845820</xdr:colOff>
      <xdr:row>0</xdr:row>
      <xdr:rowOff>22860</xdr:rowOff>
    </xdr:from>
    <xdr:to>
      <xdr:col>1</xdr:col>
      <xdr:colOff>1760220</xdr:colOff>
      <xdr:row>5</xdr:row>
      <xdr:rowOff>22860</xdr:rowOff>
    </xdr:to>
    <xdr:pic>
      <xdr:nvPicPr>
        <xdr:cNvPr id="26" name="Graphic 25" descr="Bar graph with upward trend outline">
          <a:extLst>
            <a:ext uri="{FF2B5EF4-FFF2-40B4-BE49-F238E27FC236}">
              <a16:creationId xmlns:a16="http://schemas.microsoft.com/office/drawing/2014/main" id="{568D5393-09A1-30FD-74AB-9A1FE76F2FB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89760" y="22860"/>
          <a:ext cx="914400" cy="9144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25T15:28:54.541"/>
    </inkml:context>
    <inkml:brush xml:id="br0">
      <inkml:brushProperty name="width" value="0.05" units="cm"/>
      <inkml:brushProperty name="height" value="0.05" units="cm"/>
      <inkml:brushProperty name="color" value="#AE198D"/>
      <inkml:brushProperty name="inkEffects" value="galaxy"/>
      <inkml:brushProperty name="anchorX" value="-10769.17676"/>
      <inkml:brushProperty name="anchorY" value="-1226.7218"/>
      <inkml:brushProperty name="scaleFactor" value="0.5"/>
    </inkml:brush>
  </inkml:definitions>
  <inkml:trace contextRef="#ctx0" brushRef="#br0">1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yl" refreshedDate="46197.89201909722" createdVersion="8" refreshedVersion="8" minRefreshableVersion="3" recordCount="244" xr:uid="{254B0188-A110-4AB1-8380-F13D1F307339}">
  <cacheSource type="worksheet">
    <worksheetSource ref="A1:O245" sheet="Project clean data"/>
  </cacheSource>
  <cacheFields count="15">
    <cacheField name="Date" numFmtId="14">
      <sharedItems containsSemiMixedTypes="0" containsNonDate="0" containsDate="1" containsString="0" minDate="2023-05-01T00:00:00" maxDate="2026-07-01T00:00:00"/>
    </cacheField>
    <cacheField name="Is_Weekend_or_BH" numFmtId="0">
      <sharedItems count="2">
        <s v="YES"/>
        <s v="NO"/>
      </sharedItems>
    </cacheField>
    <cacheField name="Max_Temperature_C" numFmtId="0">
      <sharedItems containsSemiMixedTypes="0" containsString="0" containsNumber="1" minValue="12" maxValue="35.299999999999997"/>
    </cacheField>
    <cacheField name="Rainfall_mm" numFmtId="0">
      <sharedItems containsSemiMixedTypes="0" containsString="0" containsNumber="1" minValue="0" maxValue="21.4"/>
    </cacheField>
    <cacheField name="Beef_Historical_Order_kg" numFmtId="0">
      <sharedItems containsSemiMixedTypes="0" containsString="0" containsNumber="1" containsInteger="1" minValue="60" maxValue="150"/>
    </cacheField>
    <cacheField name="Beef_Actual_Sales_kg" numFmtId="0">
      <sharedItems containsSemiMixedTypes="0" containsString="0" containsNumber="1" minValue="9" maxValue="150"/>
    </cacheField>
    <cacheField name="Beef_Wasted_Stock_kg" numFmtId="0">
      <sharedItems containsSemiMixedTypes="0" containsString="0" containsNumber="1" minValue="0" maxValue="127.5"/>
    </cacheField>
    <cacheField name="Beef_Financial_Loss_£" numFmtId="164">
      <sharedItems containsSemiMixedTypes="0" containsString="0" containsNumber="1" minValue="0" maxValue="918"/>
    </cacheField>
    <cacheField name="Pork_Historical_Order_kg" numFmtId="0">
      <sharedItems containsSemiMixedTypes="0" containsString="0" containsNumber="1" containsInteger="1" minValue="40" maxValue="100"/>
    </cacheField>
    <cacheField name="Pork_Actual_Sales_kg" numFmtId="0">
      <sharedItems containsSemiMixedTypes="0" containsString="0" containsNumber="1" containsInteger="1" minValue="6" maxValue="100"/>
    </cacheField>
    <cacheField name="Pork_Wasted_Stock_kg" numFmtId="0">
      <sharedItems containsSemiMixedTypes="0" containsString="0" containsNumber="1" containsInteger="1" minValue="0" maxValue="85"/>
    </cacheField>
    <cacheField name="Pork_Financial_Loss_£" numFmtId="164">
      <sharedItems containsSemiMixedTypes="0" containsString="0" containsNumber="1" containsInteger="1" minValue="0" maxValue="340"/>
    </cacheField>
    <cacheField name="Weather_Condition" numFmtId="0">
      <sharedItems count="4">
        <s v="Ideal BBQ Day"/>
        <s v="Normal Weekday"/>
        <s v="Heavy Rain"/>
        <s v="Extreme Heat"/>
      </sharedItems>
    </cacheField>
    <cacheField name="Year_Filter" numFmtId="0">
      <sharedItems containsSemiMixedTypes="0" containsString="0" containsNumber="1" containsInteger="1" minValue="2023" maxValue="2026" count="4">
        <n v="2023"/>
        <n v="2024"/>
        <n v="2025"/>
        <n v="2026"/>
      </sharedItems>
    </cacheField>
    <cacheField name="Month_Filter" numFmtId="0">
      <sharedItems count="2">
        <s v="May"/>
        <s v="June"/>
      </sharedItems>
    </cacheField>
  </cacheFields>
  <extLst>
    <ext xmlns:x14="http://schemas.microsoft.com/office/spreadsheetml/2009/9/main" uri="{725AE2AE-9491-48be-B2B4-4EB974FC3084}">
      <x14:pivotCacheDefinition pivotCacheId="1360068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d v="2023-05-01T00:00:00"/>
    <x v="0"/>
    <n v="18"/>
    <n v="1.3"/>
    <n v="150"/>
    <n v="150"/>
    <n v="0"/>
    <n v="0"/>
    <n v="100"/>
    <n v="100"/>
    <n v="0"/>
    <n v="0"/>
    <x v="0"/>
    <x v="0"/>
    <x v="0"/>
  </r>
  <r>
    <d v="2023-05-02T00:00:00"/>
    <x v="1"/>
    <n v="17"/>
    <n v="0.1"/>
    <n v="60"/>
    <n v="60"/>
    <n v="0"/>
    <n v="0"/>
    <n v="40"/>
    <n v="40"/>
    <n v="0"/>
    <n v="0"/>
    <x v="1"/>
    <x v="0"/>
    <x v="0"/>
  </r>
  <r>
    <d v="2023-05-03T00:00:00"/>
    <x v="1"/>
    <n v="16"/>
    <n v="0"/>
    <n v="60"/>
    <n v="60"/>
    <n v="0"/>
    <n v="0"/>
    <n v="40"/>
    <n v="40"/>
    <n v="0"/>
    <n v="0"/>
    <x v="1"/>
    <x v="0"/>
    <x v="0"/>
  </r>
  <r>
    <d v="2023-05-04T00:00:00"/>
    <x v="1"/>
    <n v="18"/>
    <n v="1.9"/>
    <n v="60"/>
    <n v="60"/>
    <n v="0"/>
    <n v="0"/>
    <n v="40"/>
    <n v="40"/>
    <n v="0"/>
    <n v="0"/>
    <x v="1"/>
    <x v="0"/>
    <x v="0"/>
  </r>
  <r>
    <d v="2023-05-05T00:00:00"/>
    <x v="1"/>
    <n v="18"/>
    <n v="2.5"/>
    <n v="60"/>
    <n v="60"/>
    <n v="0"/>
    <n v="0"/>
    <n v="40"/>
    <n v="40"/>
    <n v="0"/>
    <n v="0"/>
    <x v="0"/>
    <x v="0"/>
    <x v="0"/>
  </r>
  <r>
    <d v="2023-05-06T00:00:00"/>
    <x v="0"/>
    <n v="16"/>
    <n v="2.2999999999999998"/>
    <n v="150"/>
    <n v="150"/>
    <n v="0"/>
    <n v="0"/>
    <n v="100"/>
    <n v="100"/>
    <n v="0"/>
    <n v="0"/>
    <x v="0"/>
    <x v="0"/>
    <x v="0"/>
  </r>
  <r>
    <d v="2023-05-07T00:00:00"/>
    <x v="0"/>
    <n v="19"/>
    <n v="0"/>
    <n v="150"/>
    <n v="150"/>
    <n v="0"/>
    <n v="0"/>
    <n v="100"/>
    <n v="100"/>
    <n v="0"/>
    <n v="0"/>
    <x v="0"/>
    <x v="0"/>
    <x v="0"/>
  </r>
  <r>
    <d v="2023-05-08T00:00:00"/>
    <x v="0"/>
    <n v="16"/>
    <n v="9.3000000000000007"/>
    <n v="150"/>
    <n v="36"/>
    <n v="114"/>
    <n v="820.80000000000007"/>
    <n v="100"/>
    <n v="24"/>
    <n v="76"/>
    <n v="304"/>
    <x v="2"/>
    <x v="0"/>
    <x v="0"/>
  </r>
  <r>
    <d v="2023-05-09T00:00:00"/>
    <x v="1"/>
    <n v="18"/>
    <n v="10.199999999999999"/>
    <n v="60"/>
    <n v="18"/>
    <n v="42"/>
    <n v="302.40000000000003"/>
    <n v="40"/>
    <n v="12"/>
    <n v="28"/>
    <n v="112"/>
    <x v="2"/>
    <x v="0"/>
    <x v="0"/>
  </r>
  <r>
    <d v="2023-05-10T00:00:00"/>
    <x v="1"/>
    <n v="16"/>
    <n v="3.2"/>
    <n v="60"/>
    <n v="60"/>
    <n v="0"/>
    <n v="0"/>
    <n v="40"/>
    <n v="40"/>
    <n v="0"/>
    <n v="0"/>
    <x v="1"/>
    <x v="0"/>
    <x v="0"/>
  </r>
  <r>
    <d v="2023-05-11T00:00:00"/>
    <x v="1"/>
    <n v="19"/>
    <n v="0.4"/>
    <n v="60"/>
    <n v="60"/>
    <n v="0"/>
    <n v="0"/>
    <n v="40"/>
    <n v="40"/>
    <n v="0"/>
    <n v="0"/>
    <x v="1"/>
    <x v="0"/>
    <x v="0"/>
  </r>
  <r>
    <d v="2023-05-12T00:00:00"/>
    <x v="1"/>
    <n v="15"/>
    <n v="0.1"/>
    <n v="60"/>
    <n v="60"/>
    <n v="0"/>
    <n v="0"/>
    <n v="40"/>
    <n v="40"/>
    <n v="0"/>
    <n v="0"/>
    <x v="0"/>
    <x v="0"/>
    <x v="0"/>
  </r>
  <r>
    <d v="2023-05-13T00:00:00"/>
    <x v="0"/>
    <n v="16"/>
    <n v="0"/>
    <n v="150"/>
    <n v="150"/>
    <n v="0"/>
    <n v="0"/>
    <n v="100"/>
    <n v="100"/>
    <n v="0"/>
    <n v="0"/>
    <x v="0"/>
    <x v="0"/>
    <x v="0"/>
  </r>
  <r>
    <d v="2023-05-14T00:00:00"/>
    <x v="0"/>
    <n v="18.600000000000001"/>
    <n v="0.7"/>
    <n v="150"/>
    <n v="150"/>
    <n v="0"/>
    <n v="0"/>
    <n v="100"/>
    <n v="100"/>
    <n v="0"/>
    <n v="0"/>
    <x v="0"/>
    <x v="0"/>
    <x v="0"/>
  </r>
  <r>
    <d v="2023-05-15T00:00:00"/>
    <x v="1"/>
    <n v="16"/>
    <n v="0"/>
    <n v="60"/>
    <n v="60"/>
    <n v="0"/>
    <n v="0"/>
    <n v="40"/>
    <n v="40"/>
    <n v="0"/>
    <n v="0"/>
    <x v="1"/>
    <x v="0"/>
    <x v="0"/>
  </r>
  <r>
    <d v="2023-05-16T00:00:00"/>
    <x v="1"/>
    <n v="17"/>
    <n v="0"/>
    <n v="60"/>
    <n v="60"/>
    <n v="0"/>
    <n v="0"/>
    <n v="40"/>
    <n v="40"/>
    <n v="0"/>
    <n v="0"/>
    <x v="1"/>
    <x v="0"/>
    <x v="0"/>
  </r>
  <r>
    <d v="2023-05-17T00:00:00"/>
    <x v="1"/>
    <n v="18"/>
    <n v="0"/>
    <n v="60"/>
    <n v="60"/>
    <n v="0"/>
    <n v="0"/>
    <n v="40"/>
    <n v="40"/>
    <n v="0"/>
    <n v="0"/>
    <x v="1"/>
    <x v="0"/>
    <x v="0"/>
  </r>
  <r>
    <d v="2023-05-18T00:00:00"/>
    <x v="1"/>
    <n v="21"/>
    <n v="0"/>
    <n v="60"/>
    <n v="60"/>
    <n v="0"/>
    <n v="0"/>
    <n v="40"/>
    <n v="40"/>
    <n v="0"/>
    <n v="0"/>
    <x v="1"/>
    <x v="0"/>
    <x v="0"/>
  </r>
  <r>
    <d v="2023-05-19T00:00:00"/>
    <x v="1"/>
    <n v="19"/>
    <n v="2.2999999999999998"/>
    <n v="60"/>
    <n v="60"/>
    <n v="0"/>
    <n v="0"/>
    <n v="40"/>
    <n v="40"/>
    <n v="0"/>
    <n v="0"/>
    <x v="0"/>
    <x v="0"/>
    <x v="0"/>
  </r>
  <r>
    <d v="2023-05-20T00:00:00"/>
    <x v="0"/>
    <n v="19"/>
    <n v="0"/>
    <n v="150"/>
    <n v="150"/>
    <n v="0"/>
    <n v="0"/>
    <n v="100"/>
    <n v="100"/>
    <n v="0"/>
    <n v="0"/>
    <x v="0"/>
    <x v="0"/>
    <x v="0"/>
  </r>
  <r>
    <d v="2023-05-21T00:00:00"/>
    <x v="0"/>
    <n v="20"/>
    <n v="0"/>
    <n v="150"/>
    <n v="150"/>
    <n v="0"/>
    <n v="0"/>
    <n v="100"/>
    <n v="100"/>
    <n v="0"/>
    <n v="0"/>
    <x v="0"/>
    <x v="0"/>
    <x v="0"/>
  </r>
  <r>
    <d v="2023-05-22T00:00:00"/>
    <x v="1"/>
    <n v="21"/>
    <n v="0"/>
    <n v="60"/>
    <n v="60"/>
    <n v="0"/>
    <n v="0"/>
    <n v="40"/>
    <n v="40"/>
    <n v="0"/>
    <n v="0"/>
    <x v="1"/>
    <x v="0"/>
    <x v="0"/>
  </r>
  <r>
    <d v="2023-05-23T00:00:00"/>
    <x v="1"/>
    <n v="19"/>
    <n v="0"/>
    <n v="60"/>
    <n v="60"/>
    <n v="0"/>
    <n v="0"/>
    <n v="40"/>
    <n v="40"/>
    <n v="0"/>
    <n v="0"/>
    <x v="1"/>
    <x v="0"/>
    <x v="0"/>
  </r>
  <r>
    <d v="2023-05-24T00:00:00"/>
    <x v="1"/>
    <n v="21"/>
    <n v="0"/>
    <n v="60"/>
    <n v="60"/>
    <n v="0"/>
    <n v="0"/>
    <n v="40"/>
    <n v="40"/>
    <n v="0"/>
    <n v="0"/>
    <x v="1"/>
    <x v="0"/>
    <x v="0"/>
  </r>
  <r>
    <d v="2023-05-25T00:00:00"/>
    <x v="1"/>
    <n v="21"/>
    <n v="0"/>
    <n v="60"/>
    <n v="60"/>
    <n v="0"/>
    <n v="0"/>
    <n v="40"/>
    <n v="40"/>
    <n v="0"/>
    <n v="0"/>
    <x v="1"/>
    <x v="0"/>
    <x v="0"/>
  </r>
  <r>
    <d v="2023-05-26T00:00:00"/>
    <x v="1"/>
    <n v="20"/>
    <n v="0"/>
    <n v="60"/>
    <n v="60"/>
    <n v="0"/>
    <n v="0"/>
    <n v="40"/>
    <n v="40"/>
    <n v="0"/>
    <n v="0"/>
    <x v="0"/>
    <x v="0"/>
    <x v="0"/>
  </r>
  <r>
    <d v="2023-05-27T00:00:00"/>
    <x v="0"/>
    <n v="21"/>
    <n v="0"/>
    <n v="150"/>
    <n v="150"/>
    <n v="0"/>
    <n v="0"/>
    <n v="100"/>
    <n v="100"/>
    <n v="0"/>
    <n v="0"/>
    <x v="0"/>
    <x v="0"/>
    <x v="0"/>
  </r>
  <r>
    <d v="2023-05-28T00:00:00"/>
    <x v="0"/>
    <n v="22"/>
    <n v="0"/>
    <n v="150"/>
    <n v="150"/>
    <n v="0"/>
    <n v="0"/>
    <n v="100"/>
    <n v="100"/>
    <n v="0"/>
    <n v="0"/>
    <x v="0"/>
    <x v="0"/>
    <x v="0"/>
  </r>
  <r>
    <d v="2023-05-29T00:00:00"/>
    <x v="0"/>
    <n v="18"/>
    <n v="0"/>
    <n v="150"/>
    <n v="150"/>
    <n v="0"/>
    <n v="0"/>
    <n v="100"/>
    <n v="100"/>
    <n v="0"/>
    <n v="0"/>
    <x v="0"/>
    <x v="0"/>
    <x v="0"/>
  </r>
  <r>
    <d v="2023-05-30T00:00:00"/>
    <x v="1"/>
    <n v="18"/>
    <n v="0"/>
    <n v="60"/>
    <n v="60"/>
    <n v="0"/>
    <n v="0"/>
    <n v="40"/>
    <n v="40"/>
    <n v="0"/>
    <n v="0"/>
    <x v="1"/>
    <x v="0"/>
    <x v="0"/>
  </r>
  <r>
    <d v="2023-05-31T00:00:00"/>
    <x v="1"/>
    <n v="15.2"/>
    <n v="0"/>
    <n v="60"/>
    <n v="60"/>
    <n v="0"/>
    <n v="0"/>
    <n v="40"/>
    <n v="40"/>
    <n v="0"/>
    <n v="0"/>
    <x v="1"/>
    <x v="0"/>
    <x v="0"/>
  </r>
  <r>
    <d v="2023-06-01T00:00:00"/>
    <x v="1"/>
    <n v="18"/>
    <n v="0"/>
    <n v="60"/>
    <n v="60"/>
    <n v="0"/>
    <n v="0"/>
    <n v="40"/>
    <n v="40"/>
    <n v="0"/>
    <n v="0"/>
    <x v="1"/>
    <x v="0"/>
    <x v="1"/>
  </r>
  <r>
    <d v="2023-06-02T00:00:00"/>
    <x v="1"/>
    <n v="19"/>
    <n v="0"/>
    <n v="60"/>
    <n v="60"/>
    <n v="0"/>
    <n v="0"/>
    <n v="40"/>
    <n v="40"/>
    <n v="0"/>
    <n v="0"/>
    <x v="0"/>
    <x v="0"/>
    <x v="1"/>
  </r>
  <r>
    <d v="2023-06-03T00:00:00"/>
    <x v="0"/>
    <n v="22"/>
    <n v="0"/>
    <n v="150"/>
    <n v="150"/>
    <n v="0"/>
    <n v="0"/>
    <n v="100"/>
    <n v="100"/>
    <n v="0"/>
    <n v="0"/>
    <x v="0"/>
    <x v="0"/>
    <x v="1"/>
  </r>
  <r>
    <d v="2023-06-04T00:00:00"/>
    <x v="0"/>
    <n v="21"/>
    <n v="0"/>
    <n v="150"/>
    <n v="150"/>
    <n v="0"/>
    <n v="0"/>
    <n v="100"/>
    <n v="100"/>
    <n v="0"/>
    <n v="0"/>
    <x v="0"/>
    <x v="0"/>
    <x v="1"/>
  </r>
  <r>
    <d v="2023-06-05T00:00:00"/>
    <x v="1"/>
    <n v="18"/>
    <n v="0"/>
    <n v="60"/>
    <n v="60"/>
    <n v="0"/>
    <n v="0"/>
    <n v="40"/>
    <n v="40"/>
    <n v="0"/>
    <n v="0"/>
    <x v="1"/>
    <x v="0"/>
    <x v="1"/>
  </r>
  <r>
    <d v="2023-06-06T00:00:00"/>
    <x v="1"/>
    <n v="16"/>
    <n v="0"/>
    <n v="60"/>
    <n v="60"/>
    <n v="0"/>
    <n v="0"/>
    <n v="40"/>
    <n v="40"/>
    <n v="0"/>
    <n v="0"/>
    <x v="1"/>
    <x v="0"/>
    <x v="1"/>
  </r>
  <r>
    <d v="2023-06-07T00:00:00"/>
    <x v="1"/>
    <n v="21"/>
    <n v="0"/>
    <n v="60"/>
    <n v="60"/>
    <n v="0"/>
    <n v="0"/>
    <n v="40"/>
    <n v="40"/>
    <n v="0"/>
    <n v="0"/>
    <x v="1"/>
    <x v="0"/>
    <x v="1"/>
  </r>
  <r>
    <d v="2023-06-08T00:00:00"/>
    <x v="1"/>
    <n v="22"/>
    <n v="0"/>
    <n v="60"/>
    <n v="60"/>
    <n v="0"/>
    <n v="0"/>
    <n v="40"/>
    <n v="40"/>
    <n v="0"/>
    <n v="0"/>
    <x v="1"/>
    <x v="0"/>
    <x v="1"/>
  </r>
  <r>
    <d v="2023-06-09T00:00:00"/>
    <x v="1"/>
    <n v="25"/>
    <n v="0"/>
    <n v="60"/>
    <n v="60"/>
    <n v="0"/>
    <n v="0"/>
    <n v="40"/>
    <n v="40"/>
    <n v="0"/>
    <n v="0"/>
    <x v="0"/>
    <x v="0"/>
    <x v="1"/>
  </r>
  <r>
    <d v="2023-06-10T00:00:00"/>
    <x v="0"/>
    <n v="29"/>
    <n v="0.8"/>
    <n v="150"/>
    <n v="150"/>
    <n v="0"/>
    <n v="0"/>
    <n v="100"/>
    <n v="100"/>
    <n v="0"/>
    <n v="0"/>
    <x v="0"/>
    <x v="0"/>
    <x v="1"/>
  </r>
  <r>
    <d v="2023-06-11T00:00:00"/>
    <x v="0"/>
    <n v="24"/>
    <n v="12.2"/>
    <n v="150"/>
    <n v="36"/>
    <n v="114"/>
    <n v="820.80000000000007"/>
    <n v="100"/>
    <n v="24"/>
    <n v="76"/>
    <n v="304"/>
    <x v="2"/>
    <x v="0"/>
    <x v="1"/>
  </r>
  <r>
    <d v="2023-06-12T00:00:00"/>
    <x v="1"/>
    <n v="28"/>
    <n v="12.5"/>
    <n v="60"/>
    <n v="18"/>
    <n v="42"/>
    <n v="302.40000000000003"/>
    <n v="40"/>
    <n v="12"/>
    <n v="28"/>
    <n v="112"/>
    <x v="2"/>
    <x v="0"/>
    <x v="1"/>
  </r>
  <r>
    <d v="2023-06-13T00:00:00"/>
    <x v="1"/>
    <n v="29"/>
    <n v="0"/>
    <n v="60"/>
    <n v="60"/>
    <n v="0"/>
    <n v="0"/>
    <n v="40"/>
    <n v="40"/>
    <n v="0"/>
    <n v="0"/>
    <x v="1"/>
    <x v="0"/>
    <x v="1"/>
  </r>
  <r>
    <d v="2023-06-14T00:00:00"/>
    <x v="1"/>
    <n v="27"/>
    <n v="0"/>
    <n v="60"/>
    <n v="60"/>
    <n v="0"/>
    <n v="0"/>
    <n v="40"/>
    <n v="40"/>
    <n v="0"/>
    <n v="0"/>
    <x v="1"/>
    <x v="0"/>
    <x v="1"/>
  </r>
  <r>
    <d v="2023-06-15T00:00:00"/>
    <x v="1"/>
    <n v="27"/>
    <n v="0"/>
    <n v="60"/>
    <n v="60"/>
    <n v="0"/>
    <n v="0"/>
    <n v="40"/>
    <n v="40"/>
    <n v="0"/>
    <n v="0"/>
    <x v="1"/>
    <x v="0"/>
    <x v="1"/>
  </r>
  <r>
    <d v="2023-06-16T00:00:00"/>
    <x v="1"/>
    <n v="27"/>
    <n v="0"/>
    <n v="60"/>
    <n v="60"/>
    <n v="0"/>
    <n v="0"/>
    <n v="40"/>
    <n v="40"/>
    <n v="0"/>
    <n v="0"/>
    <x v="0"/>
    <x v="0"/>
    <x v="1"/>
  </r>
  <r>
    <d v="2023-06-17T00:00:00"/>
    <x v="0"/>
    <n v="26"/>
    <n v="5.8"/>
    <n v="150"/>
    <n v="36"/>
    <n v="114"/>
    <n v="820.80000000000007"/>
    <n v="100"/>
    <n v="24"/>
    <n v="76"/>
    <n v="304"/>
    <x v="2"/>
    <x v="0"/>
    <x v="1"/>
  </r>
  <r>
    <d v="2023-06-18T00:00:00"/>
    <x v="0"/>
    <n v="24"/>
    <n v="4.5999999999999996"/>
    <n v="150"/>
    <n v="150"/>
    <n v="0"/>
    <n v="0"/>
    <n v="100"/>
    <n v="100"/>
    <n v="0"/>
    <n v="0"/>
    <x v="0"/>
    <x v="0"/>
    <x v="1"/>
  </r>
  <r>
    <d v="2023-06-19T00:00:00"/>
    <x v="1"/>
    <n v="25"/>
    <n v="0"/>
    <n v="60"/>
    <n v="60"/>
    <n v="0"/>
    <n v="0"/>
    <n v="40"/>
    <n v="40"/>
    <n v="0"/>
    <n v="0"/>
    <x v="1"/>
    <x v="0"/>
    <x v="1"/>
  </r>
  <r>
    <d v="2023-06-20T00:00:00"/>
    <x v="1"/>
    <n v="22"/>
    <n v="12.2"/>
    <n v="60"/>
    <n v="18"/>
    <n v="42"/>
    <n v="302.40000000000003"/>
    <n v="40"/>
    <n v="12"/>
    <n v="28"/>
    <n v="112"/>
    <x v="2"/>
    <x v="0"/>
    <x v="1"/>
  </r>
  <r>
    <d v="2023-06-21T00:00:00"/>
    <x v="1"/>
    <n v="24"/>
    <n v="0"/>
    <n v="60"/>
    <n v="60"/>
    <n v="0"/>
    <n v="0"/>
    <n v="40"/>
    <n v="40"/>
    <n v="0"/>
    <n v="0"/>
    <x v="1"/>
    <x v="0"/>
    <x v="1"/>
  </r>
  <r>
    <d v="2023-06-22T00:00:00"/>
    <x v="1"/>
    <n v="26"/>
    <n v="0.1"/>
    <n v="60"/>
    <n v="60"/>
    <n v="0"/>
    <n v="0"/>
    <n v="40"/>
    <n v="40"/>
    <n v="0"/>
    <n v="0"/>
    <x v="1"/>
    <x v="0"/>
    <x v="1"/>
  </r>
  <r>
    <d v="2023-06-23T00:00:00"/>
    <x v="1"/>
    <n v="24"/>
    <n v="0"/>
    <n v="60"/>
    <n v="60"/>
    <n v="0"/>
    <n v="0"/>
    <n v="40"/>
    <n v="40"/>
    <n v="0"/>
    <n v="0"/>
    <x v="0"/>
    <x v="0"/>
    <x v="1"/>
  </r>
  <r>
    <d v="2023-06-24T00:00:00"/>
    <x v="0"/>
    <n v="27"/>
    <n v="0.2"/>
    <n v="150"/>
    <n v="150"/>
    <n v="0"/>
    <n v="0"/>
    <n v="100"/>
    <n v="100"/>
    <n v="0"/>
    <n v="0"/>
    <x v="0"/>
    <x v="0"/>
    <x v="1"/>
  </r>
  <r>
    <d v="2023-06-25T00:00:00"/>
    <x v="0"/>
    <n v="29"/>
    <n v="0.7"/>
    <n v="150"/>
    <n v="150"/>
    <n v="0"/>
    <n v="0"/>
    <n v="100"/>
    <n v="100"/>
    <n v="0"/>
    <n v="0"/>
    <x v="0"/>
    <x v="0"/>
    <x v="1"/>
  </r>
  <r>
    <d v="2023-06-26T00:00:00"/>
    <x v="1"/>
    <n v="22"/>
    <n v="0.1"/>
    <n v="60"/>
    <n v="60"/>
    <n v="0"/>
    <n v="0"/>
    <n v="40"/>
    <n v="40"/>
    <n v="0"/>
    <n v="0"/>
    <x v="1"/>
    <x v="0"/>
    <x v="1"/>
  </r>
  <r>
    <d v="2023-06-27T00:00:00"/>
    <x v="1"/>
    <n v="20"/>
    <n v="0"/>
    <n v="60"/>
    <n v="60"/>
    <n v="0"/>
    <n v="0"/>
    <n v="40"/>
    <n v="40"/>
    <n v="0"/>
    <n v="0"/>
    <x v="1"/>
    <x v="0"/>
    <x v="1"/>
  </r>
  <r>
    <d v="2023-06-28T00:00:00"/>
    <x v="1"/>
    <n v="22"/>
    <n v="0.3"/>
    <n v="60"/>
    <n v="60"/>
    <n v="0"/>
    <n v="0"/>
    <n v="40"/>
    <n v="40"/>
    <n v="0"/>
    <n v="0"/>
    <x v="1"/>
    <x v="0"/>
    <x v="1"/>
  </r>
  <r>
    <d v="2023-06-29T00:00:00"/>
    <x v="1"/>
    <n v="22"/>
    <n v="0.8"/>
    <n v="60"/>
    <n v="60"/>
    <n v="0"/>
    <n v="0"/>
    <n v="40"/>
    <n v="40"/>
    <n v="0"/>
    <n v="0"/>
    <x v="1"/>
    <x v="0"/>
    <x v="1"/>
  </r>
  <r>
    <d v="2023-06-30T00:00:00"/>
    <x v="1"/>
    <n v="19"/>
    <n v="1.1000000000000001"/>
    <n v="60"/>
    <n v="60"/>
    <n v="0"/>
    <n v="0"/>
    <n v="40"/>
    <n v="40"/>
    <n v="0"/>
    <n v="0"/>
    <x v="0"/>
    <x v="0"/>
    <x v="1"/>
  </r>
  <r>
    <d v="2024-05-01T00:00:00"/>
    <x v="1"/>
    <n v="17"/>
    <n v="3.4"/>
    <n v="60"/>
    <n v="60"/>
    <n v="0"/>
    <n v="0"/>
    <n v="40"/>
    <n v="40"/>
    <n v="0"/>
    <n v="0"/>
    <x v="1"/>
    <x v="1"/>
    <x v="0"/>
  </r>
  <r>
    <d v="2024-05-02T00:00:00"/>
    <x v="1"/>
    <n v="15"/>
    <n v="0.9"/>
    <n v="60"/>
    <n v="60"/>
    <n v="0"/>
    <n v="0"/>
    <n v="40"/>
    <n v="40"/>
    <n v="0"/>
    <n v="0"/>
    <x v="1"/>
    <x v="1"/>
    <x v="0"/>
  </r>
  <r>
    <d v="2024-05-03T00:00:00"/>
    <x v="1"/>
    <n v="12"/>
    <n v="13.6"/>
    <n v="60"/>
    <n v="18"/>
    <n v="42"/>
    <n v="302.40000000000003"/>
    <n v="40"/>
    <n v="12"/>
    <n v="28"/>
    <n v="112"/>
    <x v="2"/>
    <x v="1"/>
    <x v="0"/>
  </r>
  <r>
    <d v="2024-05-04T00:00:00"/>
    <x v="0"/>
    <n v="18"/>
    <n v="0"/>
    <n v="150"/>
    <n v="150"/>
    <n v="0"/>
    <n v="0"/>
    <n v="100"/>
    <n v="100"/>
    <n v="0"/>
    <n v="0"/>
    <x v="0"/>
    <x v="1"/>
    <x v="0"/>
  </r>
  <r>
    <d v="2024-05-05T00:00:00"/>
    <x v="0"/>
    <n v="17"/>
    <n v="2.9"/>
    <n v="150"/>
    <n v="150"/>
    <n v="0"/>
    <n v="0"/>
    <n v="100"/>
    <n v="100"/>
    <n v="0"/>
    <n v="0"/>
    <x v="0"/>
    <x v="1"/>
    <x v="0"/>
  </r>
  <r>
    <d v="2024-05-06T00:00:00"/>
    <x v="1"/>
    <n v="18"/>
    <n v="0.4"/>
    <n v="60"/>
    <n v="60"/>
    <n v="0"/>
    <n v="0"/>
    <n v="40"/>
    <n v="40"/>
    <n v="0"/>
    <n v="0"/>
    <x v="1"/>
    <x v="1"/>
    <x v="0"/>
  </r>
  <r>
    <d v="2024-05-07T00:00:00"/>
    <x v="1"/>
    <n v="20"/>
    <n v="0"/>
    <n v="60"/>
    <n v="60"/>
    <n v="0"/>
    <n v="0"/>
    <n v="40"/>
    <n v="40"/>
    <n v="0"/>
    <n v="0"/>
    <x v="1"/>
    <x v="1"/>
    <x v="0"/>
  </r>
  <r>
    <d v="2024-05-08T00:00:00"/>
    <x v="1"/>
    <n v="21"/>
    <n v="0.2"/>
    <n v="60"/>
    <n v="60"/>
    <n v="0"/>
    <n v="0"/>
    <n v="40"/>
    <n v="40"/>
    <n v="0"/>
    <n v="0"/>
    <x v="1"/>
    <x v="1"/>
    <x v="0"/>
  </r>
  <r>
    <d v="2024-05-09T00:00:00"/>
    <x v="1"/>
    <n v="23"/>
    <n v="0"/>
    <n v="60"/>
    <n v="60"/>
    <n v="0"/>
    <n v="0"/>
    <n v="40"/>
    <n v="40"/>
    <n v="0"/>
    <n v="0"/>
    <x v="1"/>
    <x v="1"/>
    <x v="0"/>
  </r>
  <r>
    <d v="2024-05-10T00:00:00"/>
    <x v="1"/>
    <n v="24"/>
    <n v="0"/>
    <n v="60"/>
    <n v="60"/>
    <n v="0"/>
    <n v="0"/>
    <n v="40"/>
    <n v="40"/>
    <n v="0"/>
    <n v="0"/>
    <x v="0"/>
    <x v="1"/>
    <x v="0"/>
  </r>
  <r>
    <d v="2024-05-11T00:00:00"/>
    <x v="0"/>
    <n v="23"/>
    <n v="0"/>
    <n v="150"/>
    <n v="150"/>
    <n v="0"/>
    <n v="0"/>
    <n v="100"/>
    <n v="100"/>
    <n v="0"/>
    <n v="0"/>
    <x v="0"/>
    <x v="1"/>
    <x v="0"/>
  </r>
  <r>
    <d v="2024-05-12T00:00:00"/>
    <x v="0"/>
    <n v="26"/>
    <n v="0.8"/>
    <n v="150"/>
    <n v="150"/>
    <n v="0"/>
    <n v="0"/>
    <n v="100"/>
    <n v="100"/>
    <n v="0"/>
    <n v="0"/>
    <x v="0"/>
    <x v="1"/>
    <x v="0"/>
  </r>
  <r>
    <d v="2024-05-13T00:00:00"/>
    <x v="1"/>
    <n v="18"/>
    <n v="3.6"/>
    <n v="60"/>
    <n v="60"/>
    <n v="0"/>
    <n v="0"/>
    <n v="40"/>
    <n v="40"/>
    <n v="0"/>
    <n v="0"/>
    <x v="1"/>
    <x v="1"/>
    <x v="0"/>
  </r>
  <r>
    <d v="2024-05-14T00:00:00"/>
    <x v="1"/>
    <n v="18"/>
    <n v="3.4"/>
    <n v="60"/>
    <n v="60"/>
    <n v="0"/>
    <n v="0"/>
    <n v="40"/>
    <n v="40"/>
    <n v="0"/>
    <n v="0"/>
    <x v="1"/>
    <x v="1"/>
    <x v="0"/>
  </r>
  <r>
    <d v="2024-05-15T00:00:00"/>
    <x v="1"/>
    <n v="20"/>
    <n v="0"/>
    <n v="60"/>
    <n v="60"/>
    <n v="0"/>
    <n v="0"/>
    <n v="40"/>
    <n v="40"/>
    <n v="0"/>
    <n v="0"/>
    <x v="1"/>
    <x v="1"/>
    <x v="0"/>
  </r>
  <r>
    <d v="2024-05-16T00:00:00"/>
    <x v="1"/>
    <n v="19"/>
    <n v="1.4"/>
    <n v="60"/>
    <n v="60"/>
    <n v="0"/>
    <n v="0"/>
    <n v="40"/>
    <n v="40"/>
    <n v="0"/>
    <n v="0"/>
    <x v="1"/>
    <x v="1"/>
    <x v="0"/>
  </r>
  <r>
    <d v="2024-05-17T00:00:00"/>
    <x v="1"/>
    <n v="21"/>
    <n v="0"/>
    <n v="60"/>
    <n v="60"/>
    <n v="0"/>
    <n v="0"/>
    <n v="40"/>
    <n v="40"/>
    <n v="0"/>
    <n v="0"/>
    <x v="0"/>
    <x v="1"/>
    <x v="0"/>
  </r>
  <r>
    <d v="2024-05-18T00:00:00"/>
    <x v="0"/>
    <n v="21"/>
    <n v="4.2"/>
    <n v="150"/>
    <n v="150"/>
    <n v="0"/>
    <n v="0"/>
    <n v="100"/>
    <n v="100"/>
    <n v="0"/>
    <n v="0"/>
    <x v="0"/>
    <x v="1"/>
    <x v="0"/>
  </r>
  <r>
    <d v="2024-05-19T00:00:00"/>
    <x v="0"/>
    <n v="22"/>
    <n v="0"/>
    <n v="150"/>
    <n v="150"/>
    <n v="0"/>
    <n v="0"/>
    <n v="100"/>
    <n v="100"/>
    <n v="0"/>
    <n v="0"/>
    <x v="0"/>
    <x v="1"/>
    <x v="0"/>
  </r>
  <r>
    <d v="2024-05-20T00:00:00"/>
    <x v="1"/>
    <n v="20"/>
    <n v="0"/>
    <n v="60"/>
    <n v="60"/>
    <n v="0"/>
    <n v="0"/>
    <n v="40"/>
    <n v="40"/>
    <n v="0"/>
    <n v="0"/>
    <x v="1"/>
    <x v="1"/>
    <x v="0"/>
  </r>
  <r>
    <d v="2024-05-21T00:00:00"/>
    <x v="1"/>
    <n v="16"/>
    <n v="3.8"/>
    <n v="60"/>
    <n v="60"/>
    <n v="0"/>
    <n v="0"/>
    <n v="40"/>
    <n v="40"/>
    <n v="0"/>
    <n v="0"/>
    <x v="1"/>
    <x v="1"/>
    <x v="0"/>
  </r>
  <r>
    <d v="2024-05-22T00:00:00"/>
    <x v="1"/>
    <n v="16"/>
    <n v="21.4"/>
    <n v="60"/>
    <n v="18"/>
    <n v="42"/>
    <n v="302.40000000000003"/>
    <n v="40"/>
    <n v="12"/>
    <n v="28"/>
    <n v="112"/>
    <x v="2"/>
    <x v="1"/>
    <x v="0"/>
  </r>
  <r>
    <d v="2024-05-23T00:00:00"/>
    <x v="1"/>
    <n v="15"/>
    <n v="0.2"/>
    <n v="60"/>
    <n v="60"/>
    <n v="0"/>
    <n v="0"/>
    <n v="40"/>
    <n v="40"/>
    <n v="0"/>
    <n v="0"/>
    <x v="1"/>
    <x v="1"/>
    <x v="0"/>
  </r>
  <r>
    <d v="2024-05-24T00:00:00"/>
    <x v="1"/>
    <n v="16"/>
    <n v="0"/>
    <n v="60"/>
    <n v="60"/>
    <n v="0"/>
    <n v="0"/>
    <n v="40"/>
    <n v="40"/>
    <n v="0"/>
    <n v="0"/>
    <x v="0"/>
    <x v="1"/>
    <x v="0"/>
  </r>
  <r>
    <d v="2024-05-25T00:00:00"/>
    <x v="0"/>
    <n v="20"/>
    <n v="0.2"/>
    <n v="150"/>
    <n v="150"/>
    <n v="0"/>
    <n v="0"/>
    <n v="100"/>
    <n v="100"/>
    <n v="0"/>
    <n v="0"/>
    <x v="0"/>
    <x v="1"/>
    <x v="0"/>
  </r>
  <r>
    <d v="2024-05-26T00:00:00"/>
    <x v="0"/>
    <n v="19"/>
    <n v="6.2"/>
    <n v="150"/>
    <n v="36"/>
    <n v="114"/>
    <n v="820.80000000000007"/>
    <n v="100"/>
    <n v="24"/>
    <n v="76"/>
    <n v="304"/>
    <x v="2"/>
    <x v="1"/>
    <x v="0"/>
  </r>
  <r>
    <d v="2024-05-27T00:00:00"/>
    <x v="1"/>
    <n v="17"/>
    <n v="1.5"/>
    <n v="60"/>
    <n v="60"/>
    <n v="0"/>
    <n v="0"/>
    <n v="40"/>
    <n v="40"/>
    <n v="0"/>
    <n v="0"/>
    <x v="1"/>
    <x v="1"/>
    <x v="0"/>
  </r>
  <r>
    <d v="2024-05-28T00:00:00"/>
    <x v="1"/>
    <n v="18"/>
    <n v="3.6"/>
    <n v="60"/>
    <n v="60"/>
    <n v="0"/>
    <n v="0"/>
    <n v="40"/>
    <n v="40"/>
    <n v="0"/>
    <n v="0"/>
    <x v="1"/>
    <x v="1"/>
    <x v="0"/>
  </r>
  <r>
    <d v="2024-05-29T00:00:00"/>
    <x v="1"/>
    <n v="18"/>
    <n v="0.4"/>
    <n v="60"/>
    <n v="60"/>
    <n v="0"/>
    <n v="0"/>
    <n v="40"/>
    <n v="40"/>
    <n v="0"/>
    <n v="0"/>
    <x v="1"/>
    <x v="1"/>
    <x v="0"/>
  </r>
  <r>
    <d v="2024-05-30T00:00:00"/>
    <x v="1"/>
    <n v="19"/>
    <n v="0.5"/>
    <n v="60"/>
    <n v="60"/>
    <n v="0"/>
    <n v="0"/>
    <n v="40"/>
    <n v="40"/>
    <n v="0"/>
    <n v="0"/>
    <x v="1"/>
    <x v="1"/>
    <x v="0"/>
  </r>
  <r>
    <d v="2024-05-31T00:00:00"/>
    <x v="1"/>
    <n v="17"/>
    <n v="0.1"/>
    <n v="60"/>
    <n v="60"/>
    <n v="0"/>
    <n v="0"/>
    <n v="40"/>
    <n v="40"/>
    <n v="0"/>
    <n v="0"/>
    <x v="0"/>
    <x v="1"/>
    <x v="0"/>
  </r>
  <r>
    <d v="2024-06-01T00:00:00"/>
    <x v="0"/>
    <n v="18"/>
    <n v="0"/>
    <n v="150"/>
    <n v="150"/>
    <n v="0"/>
    <n v="0"/>
    <n v="100"/>
    <n v="100"/>
    <n v="0"/>
    <n v="0"/>
    <x v="0"/>
    <x v="1"/>
    <x v="1"/>
  </r>
  <r>
    <d v="2024-06-02T00:00:00"/>
    <x v="0"/>
    <n v="24"/>
    <n v="0"/>
    <n v="150"/>
    <n v="150"/>
    <n v="0"/>
    <n v="0"/>
    <n v="100"/>
    <n v="100"/>
    <n v="0"/>
    <n v="0"/>
    <x v="0"/>
    <x v="1"/>
    <x v="1"/>
  </r>
  <r>
    <d v="2024-06-03T00:00:00"/>
    <x v="1"/>
    <n v="21"/>
    <n v="0"/>
    <n v="60"/>
    <n v="60"/>
    <n v="0"/>
    <n v="0"/>
    <n v="40"/>
    <n v="40"/>
    <n v="0"/>
    <n v="0"/>
    <x v="1"/>
    <x v="1"/>
    <x v="1"/>
  </r>
  <r>
    <d v="2024-06-04T00:00:00"/>
    <x v="1"/>
    <n v="17"/>
    <n v="0.9"/>
    <n v="60"/>
    <n v="60"/>
    <n v="0"/>
    <n v="0"/>
    <n v="40"/>
    <n v="40"/>
    <n v="0"/>
    <n v="0"/>
    <x v="1"/>
    <x v="1"/>
    <x v="1"/>
  </r>
  <r>
    <d v="2024-06-05T00:00:00"/>
    <x v="1"/>
    <n v="16"/>
    <n v="0"/>
    <n v="60"/>
    <n v="60"/>
    <n v="0"/>
    <n v="0"/>
    <n v="40"/>
    <n v="40"/>
    <n v="0"/>
    <n v="0"/>
    <x v="1"/>
    <x v="1"/>
    <x v="1"/>
  </r>
  <r>
    <d v="2024-06-06T00:00:00"/>
    <x v="1"/>
    <n v="19"/>
    <n v="0.2"/>
    <n v="60"/>
    <n v="60"/>
    <n v="0"/>
    <n v="0"/>
    <n v="40"/>
    <n v="40"/>
    <n v="0"/>
    <n v="0"/>
    <x v="1"/>
    <x v="1"/>
    <x v="1"/>
  </r>
  <r>
    <d v="2024-06-07T00:00:00"/>
    <x v="1"/>
    <n v="19"/>
    <n v="0.1"/>
    <n v="60"/>
    <n v="60"/>
    <n v="0"/>
    <n v="0"/>
    <n v="40"/>
    <n v="40"/>
    <n v="0"/>
    <n v="0"/>
    <x v="0"/>
    <x v="1"/>
    <x v="1"/>
  </r>
  <r>
    <d v="2024-06-08T00:00:00"/>
    <x v="0"/>
    <n v="19"/>
    <n v="0.1"/>
    <n v="150"/>
    <n v="150"/>
    <n v="0"/>
    <n v="0"/>
    <n v="100"/>
    <n v="100"/>
    <n v="0"/>
    <n v="0"/>
    <x v="0"/>
    <x v="1"/>
    <x v="1"/>
  </r>
  <r>
    <d v="2024-06-09T00:00:00"/>
    <x v="0"/>
    <n v="16"/>
    <n v="0"/>
    <n v="150"/>
    <n v="150"/>
    <n v="0"/>
    <n v="0"/>
    <n v="100"/>
    <n v="100"/>
    <n v="0"/>
    <n v="0"/>
    <x v="0"/>
    <x v="1"/>
    <x v="1"/>
  </r>
  <r>
    <d v="2024-06-10T00:00:00"/>
    <x v="1"/>
    <n v="17"/>
    <n v="0.9"/>
    <n v="60"/>
    <n v="60"/>
    <n v="0"/>
    <n v="0"/>
    <n v="40"/>
    <n v="40"/>
    <n v="0"/>
    <n v="0"/>
    <x v="1"/>
    <x v="1"/>
    <x v="1"/>
  </r>
  <r>
    <d v="2024-06-11T00:00:00"/>
    <x v="1"/>
    <n v="16"/>
    <n v="0.5"/>
    <n v="60"/>
    <n v="60"/>
    <n v="0"/>
    <n v="0"/>
    <n v="40"/>
    <n v="40"/>
    <n v="0"/>
    <n v="0"/>
    <x v="1"/>
    <x v="1"/>
    <x v="1"/>
  </r>
  <r>
    <d v="2024-06-12T00:00:00"/>
    <x v="1"/>
    <n v="17"/>
    <n v="0"/>
    <n v="60"/>
    <n v="60"/>
    <n v="0"/>
    <n v="0"/>
    <n v="40"/>
    <n v="40"/>
    <n v="0"/>
    <n v="0"/>
    <x v="1"/>
    <x v="1"/>
    <x v="1"/>
  </r>
  <r>
    <d v="2024-06-13T00:00:00"/>
    <x v="1"/>
    <n v="15"/>
    <n v="1.8"/>
    <n v="60"/>
    <n v="60"/>
    <n v="0"/>
    <n v="0"/>
    <n v="40"/>
    <n v="40"/>
    <n v="0"/>
    <n v="0"/>
    <x v="1"/>
    <x v="1"/>
    <x v="1"/>
  </r>
  <r>
    <d v="2024-06-14T00:00:00"/>
    <x v="1"/>
    <n v="18"/>
    <n v="4.9000000000000004"/>
    <n v="60"/>
    <n v="60"/>
    <n v="0"/>
    <n v="0"/>
    <n v="40"/>
    <n v="40"/>
    <n v="0"/>
    <n v="0"/>
    <x v="0"/>
    <x v="1"/>
    <x v="1"/>
  </r>
  <r>
    <d v="2024-06-15T00:00:00"/>
    <x v="0"/>
    <n v="16"/>
    <n v="3.7"/>
    <n v="150"/>
    <n v="150"/>
    <n v="0"/>
    <n v="0"/>
    <n v="100"/>
    <n v="100"/>
    <n v="0"/>
    <n v="0"/>
    <x v="0"/>
    <x v="1"/>
    <x v="1"/>
  </r>
  <r>
    <d v="2024-06-16T00:00:00"/>
    <x v="0"/>
    <n v="19"/>
    <n v="2.9"/>
    <n v="150"/>
    <n v="150"/>
    <n v="0"/>
    <n v="0"/>
    <n v="100"/>
    <n v="100"/>
    <n v="0"/>
    <n v="0"/>
    <x v="0"/>
    <x v="1"/>
    <x v="1"/>
  </r>
  <r>
    <d v="2024-06-17T00:00:00"/>
    <x v="1"/>
    <n v="20"/>
    <n v="0.5"/>
    <n v="60"/>
    <n v="60"/>
    <n v="0"/>
    <n v="0"/>
    <n v="40"/>
    <n v="40"/>
    <n v="0"/>
    <n v="0"/>
    <x v="1"/>
    <x v="1"/>
    <x v="1"/>
  </r>
  <r>
    <d v="2024-06-18T00:00:00"/>
    <x v="1"/>
    <n v="18"/>
    <n v="0"/>
    <n v="60"/>
    <n v="60"/>
    <n v="0"/>
    <n v="0"/>
    <n v="40"/>
    <n v="40"/>
    <n v="0"/>
    <n v="0"/>
    <x v="1"/>
    <x v="1"/>
    <x v="1"/>
  </r>
  <r>
    <d v="2024-06-19T00:00:00"/>
    <x v="1"/>
    <n v="21"/>
    <n v="0"/>
    <n v="60"/>
    <n v="60"/>
    <n v="0"/>
    <n v="0"/>
    <n v="40"/>
    <n v="40"/>
    <n v="0"/>
    <n v="0"/>
    <x v="1"/>
    <x v="1"/>
    <x v="1"/>
  </r>
  <r>
    <d v="2024-06-20T00:00:00"/>
    <x v="1"/>
    <n v="22"/>
    <n v="0"/>
    <n v="60"/>
    <n v="60"/>
    <n v="0"/>
    <n v="0"/>
    <n v="40"/>
    <n v="40"/>
    <n v="0"/>
    <n v="0"/>
    <x v="1"/>
    <x v="1"/>
    <x v="1"/>
  </r>
  <r>
    <d v="2024-06-21T00:00:00"/>
    <x v="1"/>
    <n v="21"/>
    <n v="0.5"/>
    <n v="60"/>
    <n v="60"/>
    <n v="0"/>
    <n v="0"/>
    <n v="40"/>
    <n v="40"/>
    <n v="0"/>
    <n v="0"/>
    <x v="0"/>
    <x v="1"/>
    <x v="1"/>
  </r>
  <r>
    <d v="2024-06-22T00:00:00"/>
    <x v="0"/>
    <n v="20"/>
    <n v="0.1"/>
    <n v="150"/>
    <n v="150"/>
    <n v="0"/>
    <n v="0"/>
    <n v="100"/>
    <n v="100"/>
    <n v="0"/>
    <n v="0"/>
    <x v="0"/>
    <x v="1"/>
    <x v="1"/>
  </r>
  <r>
    <d v="2024-06-23T00:00:00"/>
    <x v="0"/>
    <n v="24"/>
    <n v="0"/>
    <n v="150"/>
    <n v="150"/>
    <n v="0"/>
    <n v="0"/>
    <n v="100"/>
    <n v="100"/>
    <n v="0"/>
    <n v="0"/>
    <x v="0"/>
    <x v="1"/>
    <x v="1"/>
  </r>
  <r>
    <d v="2024-06-24T00:00:00"/>
    <x v="1"/>
    <n v="23"/>
    <n v="0"/>
    <n v="60"/>
    <n v="60"/>
    <n v="0"/>
    <n v="0"/>
    <n v="40"/>
    <n v="40"/>
    <n v="0"/>
    <n v="0"/>
    <x v="1"/>
    <x v="1"/>
    <x v="1"/>
  </r>
  <r>
    <d v="2024-06-25T00:00:00"/>
    <x v="1"/>
    <n v="28"/>
    <n v="0"/>
    <n v="60"/>
    <n v="60"/>
    <n v="0"/>
    <n v="0"/>
    <n v="40"/>
    <n v="40"/>
    <n v="0"/>
    <n v="0"/>
    <x v="1"/>
    <x v="1"/>
    <x v="1"/>
  </r>
  <r>
    <d v="2024-06-26T00:00:00"/>
    <x v="1"/>
    <n v="28"/>
    <n v="0"/>
    <n v="60"/>
    <n v="60"/>
    <n v="0"/>
    <n v="0"/>
    <n v="40"/>
    <n v="40"/>
    <n v="0"/>
    <n v="0"/>
    <x v="1"/>
    <x v="1"/>
    <x v="1"/>
  </r>
  <r>
    <d v="2024-06-27T00:00:00"/>
    <x v="1"/>
    <n v="21"/>
    <n v="0"/>
    <n v="60"/>
    <n v="60"/>
    <n v="0"/>
    <n v="0"/>
    <n v="40"/>
    <n v="40"/>
    <n v="0"/>
    <n v="0"/>
    <x v="1"/>
    <x v="1"/>
    <x v="1"/>
  </r>
  <r>
    <d v="2024-06-28T00:00:00"/>
    <x v="1"/>
    <n v="20"/>
    <n v="0"/>
    <n v="60"/>
    <n v="60"/>
    <n v="0"/>
    <n v="0"/>
    <n v="40"/>
    <n v="40"/>
    <n v="0"/>
    <n v="0"/>
    <x v="0"/>
    <x v="1"/>
    <x v="1"/>
  </r>
  <r>
    <d v="2024-06-29T00:00:00"/>
    <x v="0"/>
    <n v="22"/>
    <n v="0"/>
    <n v="150"/>
    <n v="150"/>
    <n v="0"/>
    <n v="0"/>
    <n v="100"/>
    <n v="100"/>
    <n v="0"/>
    <n v="0"/>
    <x v="0"/>
    <x v="1"/>
    <x v="1"/>
  </r>
  <r>
    <d v="2024-06-30T00:00:00"/>
    <x v="0"/>
    <n v="17.7"/>
    <n v="0.5"/>
    <n v="150"/>
    <n v="150"/>
    <n v="0"/>
    <n v="0"/>
    <n v="100"/>
    <n v="100"/>
    <n v="0"/>
    <n v="0"/>
    <x v="0"/>
    <x v="1"/>
    <x v="1"/>
  </r>
  <r>
    <d v="2025-05-01T00:00:00"/>
    <x v="1"/>
    <n v="28"/>
    <n v="0"/>
    <n v="60"/>
    <n v="60"/>
    <n v="0"/>
    <n v="0"/>
    <n v="40"/>
    <n v="40"/>
    <n v="0"/>
    <n v="0"/>
    <x v="1"/>
    <x v="2"/>
    <x v="0"/>
  </r>
  <r>
    <d v="2025-05-02T00:00:00"/>
    <x v="1"/>
    <n v="21"/>
    <n v="0"/>
    <n v="60"/>
    <n v="60"/>
    <n v="0"/>
    <n v="0"/>
    <n v="40"/>
    <n v="40"/>
    <n v="0"/>
    <n v="0"/>
    <x v="0"/>
    <x v="2"/>
    <x v="0"/>
  </r>
  <r>
    <d v="2025-05-03T00:00:00"/>
    <x v="0"/>
    <n v="17"/>
    <n v="0"/>
    <n v="150"/>
    <n v="150"/>
    <n v="0"/>
    <n v="0"/>
    <n v="100"/>
    <n v="100"/>
    <n v="0"/>
    <n v="0"/>
    <x v="0"/>
    <x v="2"/>
    <x v="0"/>
  </r>
  <r>
    <d v="2025-05-04T00:00:00"/>
    <x v="0"/>
    <n v="14"/>
    <n v="0"/>
    <n v="150"/>
    <n v="150"/>
    <n v="0"/>
    <n v="0"/>
    <n v="100"/>
    <n v="100"/>
    <n v="0"/>
    <n v="0"/>
    <x v="0"/>
    <x v="2"/>
    <x v="0"/>
  </r>
  <r>
    <d v="2025-05-05T00:00:00"/>
    <x v="0"/>
    <n v="14"/>
    <n v="0"/>
    <n v="150"/>
    <n v="150"/>
    <n v="0"/>
    <n v="0"/>
    <n v="100"/>
    <n v="100"/>
    <n v="0"/>
    <n v="0"/>
    <x v="0"/>
    <x v="2"/>
    <x v="0"/>
  </r>
  <r>
    <d v="2025-05-06T00:00:00"/>
    <x v="1"/>
    <n v="15"/>
    <n v="0"/>
    <n v="60"/>
    <n v="60"/>
    <n v="0"/>
    <n v="0"/>
    <n v="40"/>
    <n v="40"/>
    <n v="0"/>
    <n v="0"/>
    <x v="1"/>
    <x v="2"/>
    <x v="0"/>
  </r>
  <r>
    <d v="2025-05-07T00:00:00"/>
    <x v="1"/>
    <n v="18"/>
    <n v="0"/>
    <n v="60"/>
    <n v="60"/>
    <n v="0"/>
    <n v="0"/>
    <n v="40"/>
    <n v="40"/>
    <n v="0"/>
    <n v="0"/>
    <x v="1"/>
    <x v="2"/>
    <x v="0"/>
  </r>
  <r>
    <d v="2025-05-08T00:00:00"/>
    <x v="1"/>
    <n v="14"/>
    <n v="0"/>
    <n v="60"/>
    <n v="60"/>
    <n v="0"/>
    <n v="0"/>
    <n v="40"/>
    <n v="40"/>
    <n v="0"/>
    <n v="0"/>
    <x v="1"/>
    <x v="2"/>
    <x v="0"/>
  </r>
  <r>
    <d v="2025-05-09T00:00:00"/>
    <x v="1"/>
    <n v="20"/>
    <n v="0"/>
    <n v="60"/>
    <n v="60"/>
    <n v="0"/>
    <n v="0"/>
    <n v="40"/>
    <n v="40"/>
    <n v="0"/>
    <n v="0"/>
    <x v="0"/>
    <x v="2"/>
    <x v="0"/>
  </r>
  <r>
    <d v="2025-05-10T00:00:00"/>
    <x v="0"/>
    <n v="23"/>
    <n v="0"/>
    <n v="150"/>
    <n v="150"/>
    <n v="0"/>
    <n v="0"/>
    <n v="100"/>
    <n v="100"/>
    <n v="0"/>
    <n v="0"/>
    <x v="0"/>
    <x v="2"/>
    <x v="0"/>
  </r>
  <r>
    <d v="2025-05-11T00:00:00"/>
    <x v="0"/>
    <n v="24"/>
    <n v="1.5"/>
    <n v="150"/>
    <n v="150"/>
    <n v="0"/>
    <n v="0"/>
    <n v="100"/>
    <n v="100"/>
    <n v="0"/>
    <n v="0"/>
    <x v="0"/>
    <x v="2"/>
    <x v="0"/>
  </r>
  <r>
    <d v="2025-05-12T00:00:00"/>
    <x v="1"/>
    <n v="23"/>
    <n v="0.7"/>
    <n v="60"/>
    <n v="60"/>
    <n v="0"/>
    <n v="0"/>
    <n v="40"/>
    <n v="40"/>
    <n v="0"/>
    <n v="0"/>
    <x v="1"/>
    <x v="2"/>
    <x v="0"/>
  </r>
  <r>
    <d v="2025-05-13T00:00:00"/>
    <x v="1"/>
    <n v="24"/>
    <n v="0.1"/>
    <n v="60"/>
    <n v="60"/>
    <n v="0"/>
    <n v="0"/>
    <n v="40"/>
    <n v="40"/>
    <n v="0"/>
    <n v="0"/>
    <x v="1"/>
    <x v="2"/>
    <x v="0"/>
  </r>
  <r>
    <d v="2025-05-14T00:00:00"/>
    <x v="1"/>
    <n v="22"/>
    <n v="0"/>
    <n v="60"/>
    <n v="60"/>
    <n v="0"/>
    <n v="0"/>
    <n v="40"/>
    <n v="40"/>
    <n v="0"/>
    <n v="0"/>
    <x v="1"/>
    <x v="2"/>
    <x v="0"/>
  </r>
  <r>
    <d v="2025-05-15T00:00:00"/>
    <x v="1"/>
    <n v="17"/>
    <n v="0"/>
    <n v="60"/>
    <n v="60"/>
    <n v="0"/>
    <n v="0"/>
    <n v="40"/>
    <n v="40"/>
    <n v="0"/>
    <n v="0"/>
    <x v="1"/>
    <x v="2"/>
    <x v="0"/>
  </r>
  <r>
    <d v="2025-05-16T00:00:00"/>
    <x v="1"/>
    <n v="22"/>
    <n v="0"/>
    <n v="60"/>
    <n v="60"/>
    <n v="0"/>
    <n v="0"/>
    <n v="40"/>
    <n v="40"/>
    <n v="0"/>
    <n v="0"/>
    <x v="0"/>
    <x v="2"/>
    <x v="0"/>
  </r>
  <r>
    <d v="2025-05-17T00:00:00"/>
    <x v="0"/>
    <n v="17"/>
    <n v="0"/>
    <n v="150"/>
    <n v="150"/>
    <n v="0"/>
    <n v="0"/>
    <n v="100"/>
    <n v="100"/>
    <n v="0"/>
    <n v="0"/>
    <x v="0"/>
    <x v="2"/>
    <x v="0"/>
  </r>
  <r>
    <d v="2025-05-18T00:00:00"/>
    <x v="0"/>
    <n v="19"/>
    <n v="0"/>
    <n v="150"/>
    <n v="150"/>
    <n v="0"/>
    <n v="0"/>
    <n v="100"/>
    <n v="100"/>
    <n v="0"/>
    <n v="0"/>
    <x v="0"/>
    <x v="2"/>
    <x v="0"/>
  </r>
  <r>
    <d v="2025-05-19T00:00:00"/>
    <x v="1"/>
    <n v="19"/>
    <n v="0"/>
    <n v="60"/>
    <n v="60"/>
    <n v="0"/>
    <n v="0"/>
    <n v="40"/>
    <n v="40"/>
    <n v="0"/>
    <n v="0"/>
    <x v="1"/>
    <x v="2"/>
    <x v="0"/>
  </r>
  <r>
    <d v="2025-05-20T00:00:00"/>
    <x v="1"/>
    <n v="21"/>
    <n v="1.2"/>
    <n v="60"/>
    <n v="60"/>
    <n v="0"/>
    <n v="0"/>
    <n v="40"/>
    <n v="40"/>
    <n v="0"/>
    <n v="0"/>
    <x v="1"/>
    <x v="2"/>
    <x v="0"/>
  </r>
  <r>
    <d v="2025-05-21T00:00:00"/>
    <x v="1"/>
    <n v="21"/>
    <n v="3.8"/>
    <n v="60"/>
    <n v="60"/>
    <n v="0"/>
    <n v="0"/>
    <n v="40"/>
    <n v="40"/>
    <n v="0"/>
    <n v="0"/>
    <x v="1"/>
    <x v="2"/>
    <x v="0"/>
  </r>
  <r>
    <d v="2025-05-22T00:00:00"/>
    <x v="1"/>
    <n v="17"/>
    <n v="0"/>
    <n v="60"/>
    <n v="60"/>
    <n v="0"/>
    <n v="0"/>
    <n v="40"/>
    <n v="40"/>
    <n v="0"/>
    <n v="0"/>
    <x v="1"/>
    <x v="2"/>
    <x v="0"/>
  </r>
  <r>
    <d v="2025-05-23T00:00:00"/>
    <x v="1"/>
    <n v="21"/>
    <n v="0"/>
    <n v="60"/>
    <n v="60"/>
    <n v="0"/>
    <n v="0"/>
    <n v="40"/>
    <n v="40"/>
    <n v="0"/>
    <n v="0"/>
    <x v="0"/>
    <x v="2"/>
    <x v="0"/>
  </r>
  <r>
    <d v="2025-05-24T00:00:00"/>
    <x v="0"/>
    <n v="19"/>
    <n v="1.7"/>
    <n v="150"/>
    <n v="150"/>
    <n v="0"/>
    <n v="0"/>
    <n v="100"/>
    <n v="100"/>
    <n v="0"/>
    <n v="0"/>
    <x v="0"/>
    <x v="2"/>
    <x v="0"/>
  </r>
  <r>
    <d v="2025-05-25T00:00:00"/>
    <x v="0"/>
    <n v="19"/>
    <n v="0.4"/>
    <n v="150"/>
    <n v="150"/>
    <n v="0"/>
    <n v="0"/>
    <n v="100"/>
    <n v="100"/>
    <n v="0"/>
    <n v="0"/>
    <x v="0"/>
    <x v="2"/>
    <x v="0"/>
  </r>
  <r>
    <d v="2025-05-26T00:00:00"/>
    <x v="0"/>
    <n v="17"/>
    <n v="0.6"/>
    <n v="150"/>
    <n v="150"/>
    <n v="0"/>
    <n v="0"/>
    <n v="100"/>
    <n v="100"/>
    <n v="0"/>
    <n v="0"/>
    <x v="0"/>
    <x v="2"/>
    <x v="0"/>
  </r>
  <r>
    <d v="2025-05-27T00:00:00"/>
    <x v="1"/>
    <n v="17"/>
    <n v="6.1"/>
    <n v="60"/>
    <n v="18"/>
    <n v="42"/>
    <n v="302.40000000000003"/>
    <n v="40"/>
    <n v="12"/>
    <n v="28"/>
    <n v="112"/>
    <x v="2"/>
    <x v="2"/>
    <x v="0"/>
  </r>
  <r>
    <d v="2025-05-28T00:00:00"/>
    <x v="1"/>
    <n v="20"/>
    <n v="1.9"/>
    <n v="60"/>
    <n v="60"/>
    <n v="0"/>
    <n v="0"/>
    <n v="40"/>
    <n v="40"/>
    <n v="0"/>
    <n v="0"/>
    <x v="1"/>
    <x v="2"/>
    <x v="0"/>
  </r>
  <r>
    <d v="2025-05-29T00:00:00"/>
    <x v="1"/>
    <n v="23"/>
    <n v="0.4"/>
    <n v="60"/>
    <n v="60"/>
    <n v="0"/>
    <n v="0"/>
    <n v="40"/>
    <n v="40"/>
    <n v="0"/>
    <n v="0"/>
    <x v="1"/>
    <x v="2"/>
    <x v="0"/>
  </r>
  <r>
    <d v="2025-05-30T00:00:00"/>
    <x v="1"/>
    <n v="23"/>
    <n v="0"/>
    <n v="60"/>
    <n v="60"/>
    <n v="0"/>
    <n v="0"/>
    <n v="40"/>
    <n v="40"/>
    <n v="0"/>
    <n v="0"/>
    <x v="0"/>
    <x v="2"/>
    <x v="0"/>
  </r>
  <r>
    <d v="2025-05-31T00:00:00"/>
    <x v="0"/>
    <n v="23"/>
    <n v="0"/>
    <n v="150"/>
    <n v="150"/>
    <n v="0"/>
    <n v="0"/>
    <n v="100"/>
    <n v="100"/>
    <n v="0"/>
    <n v="0"/>
    <x v="0"/>
    <x v="2"/>
    <x v="0"/>
  </r>
  <r>
    <d v="2025-06-01T00:00:00"/>
    <x v="0"/>
    <n v="19"/>
    <n v="0.2"/>
    <n v="150"/>
    <n v="150"/>
    <n v="0"/>
    <n v="0"/>
    <n v="100"/>
    <n v="100"/>
    <n v="0"/>
    <n v="0"/>
    <x v="0"/>
    <x v="2"/>
    <x v="1"/>
  </r>
  <r>
    <d v="2025-06-02T00:00:00"/>
    <x v="1"/>
    <n v="20"/>
    <n v="0"/>
    <n v="60"/>
    <n v="60"/>
    <n v="0"/>
    <n v="0"/>
    <n v="40"/>
    <n v="40"/>
    <n v="0"/>
    <n v="0"/>
    <x v="1"/>
    <x v="2"/>
    <x v="1"/>
  </r>
  <r>
    <d v="2025-06-03T00:00:00"/>
    <x v="1"/>
    <n v="19"/>
    <n v="4.5"/>
    <n v="60"/>
    <n v="60"/>
    <n v="0"/>
    <n v="0"/>
    <n v="40"/>
    <n v="40"/>
    <n v="0"/>
    <n v="0"/>
    <x v="1"/>
    <x v="2"/>
    <x v="1"/>
  </r>
  <r>
    <d v="2025-06-04T00:00:00"/>
    <x v="1"/>
    <n v="19"/>
    <n v="0"/>
    <n v="60"/>
    <n v="60"/>
    <n v="0"/>
    <n v="0"/>
    <n v="40"/>
    <n v="40"/>
    <n v="0"/>
    <n v="0"/>
    <x v="1"/>
    <x v="2"/>
    <x v="1"/>
  </r>
  <r>
    <d v="2025-06-05T00:00:00"/>
    <x v="1"/>
    <n v="17"/>
    <n v="3.5"/>
    <n v="60"/>
    <n v="60"/>
    <n v="0"/>
    <n v="0"/>
    <n v="40"/>
    <n v="40"/>
    <n v="0"/>
    <n v="0"/>
    <x v="1"/>
    <x v="2"/>
    <x v="1"/>
  </r>
  <r>
    <d v="2025-06-06T00:00:00"/>
    <x v="1"/>
    <n v="19"/>
    <n v="0.3"/>
    <n v="60"/>
    <n v="60"/>
    <n v="0"/>
    <n v="0"/>
    <n v="40"/>
    <n v="40"/>
    <n v="0"/>
    <n v="0"/>
    <x v="0"/>
    <x v="2"/>
    <x v="1"/>
  </r>
  <r>
    <d v="2025-06-07T00:00:00"/>
    <x v="0"/>
    <n v="16"/>
    <n v="16.2"/>
    <n v="150"/>
    <n v="36"/>
    <n v="114"/>
    <n v="820.80000000000007"/>
    <n v="100"/>
    <n v="24"/>
    <n v="76"/>
    <n v="304"/>
    <x v="2"/>
    <x v="2"/>
    <x v="1"/>
  </r>
  <r>
    <d v="2025-06-08T00:00:00"/>
    <x v="0"/>
    <n v="17"/>
    <n v="0.5"/>
    <n v="150"/>
    <n v="150"/>
    <n v="0"/>
    <n v="0"/>
    <n v="100"/>
    <n v="100"/>
    <n v="0"/>
    <n v="0"/>
    <x v="0"/>
    <x v="2"/>
    <x v="1"/>
  </r>
  <r>
    <d v="2025-06-09T00:00:00"/>
    <x v="1"/>
    <n v="19"/>
    <n v="0"/>
    <n v="60"/>
    <n v="60"/>
    <n v="0"/>
    <n v="0"/>
    <n v="40"/>
    <n v="40"/>
    <n v="0"/>
    <n v="0"/>
    <x v="1"/>
    <x v="2"/>
    <x v="1"/>
  </r>
  <r>
    <d v="2025-06-10T00:00:00"/>
    <x v="1"/>
    <n v="22"/>
    <n v="0.3"/>
    <n v="60"/>
    <n v="60"/>
    <n v="0"/>
    <n v="0"/>
    <n v="40"/>
    <n v="40"/>
    <n v="0"/>
    <n v="0"/>
    <x v="1"/>
    <x v="2"/>
    <x v="1"/>
  </r>
  <r>
    <d v="2025-06-11T00:00:00"/>
    <x v="1"/>
    <n v="25"/>
    <n v="0"/>
    <n v="60"/>
    <n v="60"/>
    <n v="0"/>
    <n v="0"/>
    <n v="40"/>
    <n v="40"/>
    <n v="0"/>
    <n v="0"/>
    <x v="1"/>
    <x v="2"/>
    <x v="1"/>
  </r>
  <r>
    <d v="2025-06-12T00:00:00"/>
    <x v="1"/>
    <n v="22"/>
    <n v="5.7"/>
    <n v="60"/>
    <n v="18"/>
    <n v="42"/>
    <n v="302.40000000000003"/>
    <n v="40"/>
    <n v="12"/>
    <n v="28"/>
    <n v="112"/>
    <x v="2"/>
    <x v="2"/>
    <x v="1"/>
  </r>
  <r>
    <d v="2025-06-13T00:00:00"/>
    <x v="1"/>
    <n v="25"/>
    <n v="3.7"/>
    <n v="60"/>
    <n v="60"/>
    <n v="0"/>
    <n v="0"/>
    <n v="40"/>
    <n v="40"/>
    <n v="0"/>
    <n v="0"/>
    <x v="0"/>
    <x v="2"/>
    <x v="1"/>
  </r>
  <r>
    <d v="2025-06-14T00:00:00"/>
    <x v="0"/>
    <n v="22"/>
    <n v="1.2"/>
    <n v="150"/>
    <n v="150"/>
    <n v="0"/>
    <n v="0"/>
    <n v="100"/>
    <n v="100"/>
    <n v="0"/>
    <n v="0"/>
    <x v="0"/>
    <x v="2"/>
    <x v="1"/>
  </r>
  <r>
    <d v="2025-06-15T00:00:00"/>
    <x v="0"/>
    <n v="22"/>
    <n v="0.4"/>
    <n v="150"/>
    <n v="150"/>
    <n v="0"/>
    <n v="0"/>
    <n v="100"/>
    <n v="100"/>
    <n v="0"/>
    <n v="0"/>
    <x v="0"/>
    <x v="2"/>
    <x v="1"/>
  </r>
  <r>
    <d v="2025-06-16T00:00:00"/>
    <x v="1"/>
    <n v="23"/>
    <n v="0"/>
    <n v="60"/>
    <n v="60"/>
    <n v="0"/>
    <n v="0"/>
    <n v="40"/>
    <n v="40"/>
    <n v="0"/>
    <n v="0"/>
    <x v="1"/>
    <x v="2"/>
    <x v="1"/>
  </r>
  <r>
    <d v="2025-06-17T00:00:00"/>
    <x v="1"/>
    <n v="24"/>
    <n v="0"/>
    <n v="60"/>
    <n v="60"/>
    <n v="0"/>
    <n v="0"/>
    <n v="40"/>
    <n v="40"/>
    <n v="0"/>
    <n v="0"/>
    <x v="1"/>
    <x v="2"/>
    <x v="1"/>
  </r>
  <r>
    <d v="2025-06-18T00:00:00"/>
    <x v="1"/>
    <n v="27"/>
    <n v="0"/>
    <n v="60"/>
    <n v="60"/>
    <n v="0"/>
    <n v="0"/>
    <n v="40"/>
    <n v="40"/>
    <n v="0"/>
    <n v="0"/>
    <x v="1"/>
    <x v="2"/>
    <x v="1"/>
  </r>
  <r>
    <d v="2025-06-19T00:00:00"/>
    <x v="1"/>
    <n v="31"/>
    <n v="0"/>
    <n v="60"/>
    <n v="9"/>
    <n v="51"/>
    <n v="367.2"/>
    <n v="40"/>
    <n v="6"/>
    <n v="34"/>
    <n v="136"/>
    <x v="3"/>
    <x v="2"/>
    <x v="1"/>
  </r>
  <r>
    <d v="2025-06-20T00:00:00"/>
    <x v="1"/>
    <n v="30"/>
    <n v="0"/>
    <n v="60"/>
    <n v="60"/>
    <n v="0"/>
    <n v="0"/>
    <n v="40"/>
    <n v="40"/>
    <n v="0"/>
    <n v="0"/>
    <x v="0"/>
    <x v="2"/>
    <x v="1"/>
  </r>
  <r>
    <d v="2025-06-21T00:00:00"/>
    <x v="0"/>
    <n v="31"/>
    <n v="1.2"/>
    <n v="150"/>
    <n v="22.5"/>
    <n v="127.5"/>
    <n v="918"/>
    <n v="100"/>
    <n v="15"/>
    <n v="85"/>
    <n v="340"/>
    <x v="3"/>
    <x v="2"/>
    <x v="1"/>
  </r>
  <r>
    <d v="2025-06-22T00:00:00"/>
    <x v="0"/>
    <n v="22"/>
    <n v="0.7"/>
    <n v="150"/>
    <n v="150"/>
    <n v="0"/>
    <n v="0"/>
    <n v="100"/>
    <n v="100"/>
    <n v="0"/>
    <n v="0"/>
    <x v="0"/>
    <x v="2"/>
    <x v="1"/>
  </r>
  <r>
    <d v="2025-06-23T00:00:00"/>
    <x v="1"/>
    <n v="21"/>
    <n v="0.9"/>
    <n v="60"/>
    <n v="60"/>
    <n v="0"/>
    <n v="0"/>
    <n v="40"/>
    <n v="40"/>
    <n v="0"/>
    <n v="0"/>
    <x v="1"/>
    <x v="2"/>
    <x v="1"/>
  </r>
  <r>
    <d v="2025-06-24T00:00:00"/>
    <x v="1"/>
    <n v="24"/>
    <n v="0.8"/>
    <n v="60"/>
    <n v="60"/>
    <n v="0"/>
    <n v="0"/>
    <n v="40"/>
    <n v="40"/>
    <n v="0"/>
    <n v="0"/>
    <x v="1"/>
    <x v="2"/>
    <x v="1"/>
  </r>
  <r>
    <d v="2025-06-25T00:00:00"/>
    <x v="1"/>
    <n v="24"/>
    <n v="0.2"/>
    <n v="60"/>
    <n v="60"/>
    <n v="0"/>
    <n v="0"/>
    <n v="40"/>
    <n v="40"/>
    <n v="0"/>
    <n v="0"/>
    <x v="1"/>
    <x v="2"/>
    <x v="1"/>
  </r>
  <r>
    <d v="2025-06-26T00:00:00"/>
    <x v="1"/>
    <n v="23"/>
    <n v="1.3"/>
    <n v="60"/>
    <n v="60"/>
    <n v="0"/>
    <n v="0"/>
    <n v="40"/>
    <n v="40"/>
    <n v="0"/>
    <n v="0"/>
    <x v="1"/>
    <x v="2"/>
    <x v="1"/>
  </r>
  <r>
    <d v="2025-06-27T00:00:00"/>
    <x v="1"/>
    <n v="26"/>
    <n v="2.1"/>
    <n v="60"/>
    <n v="60"/>
    <n v="0"/>
    <n v="0"/>
    <n v="40"/>
    <n v="40"/>
    <n v="0"/>
    <n v="0"/>
    <x v="0"/>
    <x v="2"/>
    <x v="1"/>
  </r>
  <r>
    <d v="2025-06-28T00:00:00"/>
    <x v="0"/>
    <n v="25"/>
    <n v="0"/>
    <n v="150"/>
    <n v="150"/>
    <n v="0"/>
    <n v="0"/>
    <n v="100"/>
    <n v="100"/>
    <n v="0"/>
    <n v="0"/>
    <x v="0"/>
    <x v="2"/>
    <x v="1"/>
  </r>
  <r>
    <d v="2025-06-29T00:00:00"/>
    <x v="0"/>
    <n v="28"/>
    <n v="0"/>
    <n v="150"/>
    <n v="150"/>
    <n v="0"/>
    <n v="0"/>
    <n v="100"/>
    <n v="100"/>
    <n v="0"/>
    <n v="0"/>
    <x v="0"/>
    <x v="2"/>
    <x v="1"/>
  </r>
  <r>
    <d v="2025-06-30T00:00:00"/>
    <x v="1"/>
    <n v="31"/>
    <n v="0"/>
    <n v="60"/>
    <n v="9"/>
    <n v="51"/>
    <n v="367.2"/>
    <n v="40"/>
    <n v="6"/>
    <n v="34"/>
    <n v="136"/>
    <x v="3"/>
    <x v="2"/>
    <x v="1"/>
  </r>
  <r>
    <d v="2026-05-01T00:00:00"/>
    <x v="1"/>
    <n v="21"/>
    <n v="3.3"/>
    <n v="60"/>
    <n v="60"/>
    <n v="0"/>
    <n v="0"/>
    <n v="40"/>
    <n v="40"/>
    <n v="0"/>
    <n v="0"/>
    <x v="0"/>
    <x v="3"/>
    <x v="0"/>
  </r>
  <r>
    <d v="2026-05-02T00:00:00"/>
    <x v="0"/>
    <n v="19"/>
    <n v="1.8"/>
    <n v="150"/>
    <n v="150"/>
    <n v="0"/>
    <n v="0"/>
    <n v="100"/>
    <n v="100"/>
    <n v="0"/>
    <n v="0"/>
    <x v="0"/>
    <x v="3"/>
    <x v="0"/>
  </r>
  <r>
    <d v="2026-05-03T00:00:00"/>
    <x v="0"/>
    <n v="17.399999999999999"/>
    <n v="2.9"/>
    <n v="150"/>
    <n v="150"/>
    <n v="0"/>
    <n v="0"/>
    <n v="100"/>
    <n v="100"/>
    <n v="0"/>
    <n v="0"/>
    <x v="0"/>
    <x v="3"/>
    <x v="0"/>
  </r>
  <r>
    <d v="2026-05-04T00:00:00"/>
    <x v="0"/>
    <n v="16"/>
    <n v="1.9"/>
    <n v="150"/>
    <n v="150"/>
    <n v="0"/>
    <n v="0"/>
    <n v="100"/>
    <n v="100"/>
    <n v="0"/>
    <n v="0"/>
    <x v="0"/>
    <x v="3"/>
    <x v="0"/>
  </r>
  <r>
    <d v="2026-05-05T00:00:00"/>
    <x v="1"/>
    <n v="15"/>
    <n v="0"/>
    <n v="60"/>
    <n v="60"/>
    <n v="0"/>
    <n v="0"/>
    <n v="40"/>
    <n v="40"/>
    <n v="0"/>
    <n v="0"/>
    <x v="1"/>
    <x v="3"/>
    <x v="0"/>
  </r>
  <r>
    <d v="2026-05-06T00:00:00"/>
    <x v="1"/>
    <n v="14"/>
    <n v="0"/>
    <n v="60"/>
    <n v="60"/>
    <n v="0"/>
    <n v="0"/>
    <n v="40"/>
    <n v="40"/>
    <n v="0"/>
    <n v="0"/>
    <x v="1"/>
    <x v="3"/>
    <x v="0"/>
  </r>
  <r>
    <d v="2026-05-07T00:00:00"/>
    <x v="1"/>
    <n v="16"/>
    <n v="1"/>
    <n v="60"/>
    <n v="60"/>
    <n v="0"/>
    <n v="0"/>
    <n v="40"/>
    <n v="40"/>
    <n v="0"/>
    <n v="0"/>
    <x v="1"/>
    <x v="3"/>
    <x v="0"/>
  </r>
  <r>
    <d v="2026-05-08T00:00:00"/>
    <x v="1"/>
    <n v="18"/>
    <n v="3.8"/>
    <n v="60"/>
    <n v="60"/>
    <n v="0"/>
    <n v="0"/>
    <n v="40"/>
    <n v="40"/>
    <n v="0"/>
    <n v="0"/>
    <x v="0"/>
    <x v="3"/>
    <x v="0"/>
  </r>
  <r>
    <d v="2026-05-09T00:00:00"/>
    <x v="0"/>
    <n v="20"/>
    <n v="0"/>
    <n v="150"/>
    <n v="150"/>
    <n v="0"/>
    <n v="0"/>
    <n v="100"/>
    <n v="100"/>
    <n v="0"/>
    <n v="0"/>
    <x v="0"/>
    <x v="3"/>
    <x v="0"/>
  </r>
  <r>
    <d v="2026-05-10T00:00:00"/>
    <x v="0"/>
    <n v="14"/>
    <n v="0"/>
    <n v="150"/>
    <n v="150"/>
    <n v="0"/>
    <n v="0"/>
    <n v="100"/>
    <n v="100"/>
    <n v="0"/>
    <n v="0"/>
    <x v="0"/>
    <x v="3"/>
    <x v="0"/>
  </r>
  <r>
    <d v="2026-05-11T00:00:00"/>
    <x v="1"/>
    <n v="13"/>
    <n v="0.5"/>
    <n v="60"/>
    <n v="60"/>
    <n v="0"/>
    <n v="0"/>
    <n v="40"/>
    <n v="40"/>
    <n v="0"/>
    <n v="0"/>
    <x v="1"/>
    <x v="3"/>
    <x v="0"/>
  </r>
  <r>
    <d v="2026-05-12T00:00:00"/>
    <x v="1"/>
    <n v="16"/>
    <n v="0.1"/>
    <n v="60"/>
    <n v="60"/>
    <n v="0"/>
    <n v="0"/>
    <n v="40"/>
    <n v="40"/>
    <n v="0"/>
    <n v="0"/>
    <x v="1"/>
    <x v="3"/>
    <x v="0"/>
  </r>
  <r>
    <d v="2026-05-13T00:00:00"/>
    <x v="1"/>
    <n v="13"/>
    <n v="1.4"/>
    <n v="60"/>
    <n v="60"/>
    <n v="0"/>
    <n v="0"/>
    <n v="40"/>
    <n v="40"/>
    <n v="0"/>
    <n v="0"/>
    <x v="1"/>
    <x v="3"/>
    <x v="0"/>
  </r>
  <r>
    <d v="2026-05-14T00:00:00"/>
    <x v="1"/>
    <n v="13"/>
    <n v="2.8"/>
    <n v="60"/>
    <n v="60"/>
    <n v="0"/>
    <n v="0"/>
    <n v="40"/>
    <n v="40"/>
    <n v="0"/>
    <n v="0"/>
    <x v="1"/>
    <x v="3"/>
    <x v="0"/>
  </r>
  <r>
    <d v="2026-05-15T00:00:00"/>
    <x v="1"/>
    <n v="13"/>
    <n v="0.1"/>
    <n v="60"/>
    <n v="60"/>
    <n v="0"/>
    <n v="0"/>
    <n v="40"/>
    <n v="40"/>
    <n v="0"/>
    <n v="0"/>
    <x v="0"/>
    <x v="3"/>
    <x v="0"/>
  </r>
  <r>
    <d v="2026-05-16T00:00:00"/>
    <x v="0"/>
    <n v="14"/>
    <n v="2.2000000000000002"/>
    <n v="150"/>
    <n v="150"/>
    <n v="0"/>
    <n v="0"/>
    <n v="100"/>
    <n v="100"/>
    <n v="0"/>
    <n v="0"/>
    <x v="0"/>
    <x v="3"/>
    <x v="0"/>
  </r>
  <r>
    <d v="2026-05-17T00:00:00"/>
    <x v="0"/>
    <n v="14"/>
    <n v="0.6"/>
    <n v="150"/>
    <n v="150"/>
    <n v="0"/>
    <n v="0"/>
    <n v="100"/>
    <n v="100"/>
    <n v="0"/>
    <n v="0"/>
    <x v="0"/>
    <x v="3"/>
    <x v="0"/>
  </r>
  <r>
    <d v="2026-05-18T00:00:00"/>
    <x v="1"/>
    <n v="13"/>
    <n v="5.3"/>
    <n v="60"/>
    <n v="18"/>
    <n v="42"/>
    <n v="302.40000000000003"/>
    <n v="40"/>
    <n v="12"/>
    <n v="28"/>
    <n v="112"/>
    <x v="2"/>
    <x v="3"/>
    <x v="0"/>
  </r>
  <r>
    <d v="2026-05-19T00:00:00"/>
    <x v="1"/>
    <n v="16"/>
    <n v="7"/>
    <n v="60"/>
    <n v="18"/>
    <n v="42"/>
    <n v="302.40000000000003"/>
    <n v="40"/>
    <n v="12"/>
    <n v="28"/>
    <n v="112"/>
    <x v="2"/>
    <x v="3"/>
    <x v="0"/>
  </r>
  <r>
    <d v="2026-05-20T00:00:00"/>
    <x v="1"/>
    <n v="17"/>
    <n v="0.8"/>
    <n v="60"/>
    <n v="60"/>
    <n v="0"/>
    <n v="0"/>
    <n v="40"/>
    <n v="40"/>
    <n v="0"/>
    <n v="0"/>
    <x v="1"/>
    <x v="3"/>
    <x v="0"/>
  </r>
  <r>
    <d v="2026-05-21T00:00:00"/>
    <x v="1"/>
    <n v="22"/>
    <n v="0"/>
    <n v="60"/>
    <n v="60"/>
    <n v="0"/>
    <n v="0"/>
    <n v="40"/>
    <n v="40"/>
    <n v="0"/>
    <n v="0"/>
    <x v="1"/>
    <x v="3"/>
    <x v="0"/>
  </r>
  <r>
    <d v="2026-05-22T00:00:00"/>
    <x v="1"/>
    <n v="27"/>
    <n v="0"/>
    <n v="60"/>
    <n v="60"/>
    <n v="0"/>
    <n v="0"/>
    <n v="40"/>
    <n v="40"/>
    <n v="0"/>
    <n v="0"/>
    <x v="0"/>
    <x v="3"/>
    <x v="0"/>
  </r>
  <r>
    <d v="2026-05-23T00:00:00"/>
    <x v="0"/>
    <n v="24"/>
    <n v="0"/>
    <n v="150"/>
    <n v="150"/>
    <n v="0"/>
    <n v="0"/>
    <n v="100"/>
    <n v="100"/>
    <n v="0"/>
    <n v="0"/>
    <x v="0"/>
    <x v="3"/>
    <x v="0"/>
  </r>
  <r>
    <d v="2026-05-24T00:00:00"/>
    <x v="0"/>
    <n v="28"/>
    <n v="0"/>
    <n v="150"/>
    <n v="150"/>
    <n v="0"/>
    <n v="0"/>
    <n v="100"/>
    <n v="100"/>
    <n v="0"/>
    <n v="0"/>
    <x v="0"/>
    <x v="3"/>
    <x v="0"/>
  </r>
  <r>
    <d v="2026-05-25T00:00:00"/>
    <x v="0"/>
    <n v="33"/>
    <n v="0"/>
    <n v="150"/>
    <n v="22.5"/>
    <n v="127.5"/>
    <n v="918"/>
    <n v="100"/>
    <n v="15"/>
    <n v="85"/>
    <n v="340"/>
    <x v="3"/>
    <x v="3"/>
    <x v="0"/>
  </r>
  <r>
    <d v="2026-05-26T00:00:00"/>
    <x v="1"/>
    <n v="32"/>
    <n v="0"/>
    <n v="60"/>
    <n v="9"/>
    <n v="51"/>
    <n v="367.2"/>
    <n v="40"/>
    <n v="6"/>
    <n v="34"/>
    <n v="136"/>
    <x v="3"/>
    <x v="3"/>
    <x v="0"/>
  </r>
  <r>
    <d v="2026-05-27T00:00:00"/>
    <x v="1"/>
    <n v="29"/>
    <n v="4.5"/>
    <n v="60"/>
    <n v="60"/>
    <n v="0"/>
    <n v="0"/>
    <n v="40"/>
    <n v="40"/>
    <n v="0"/>
    <n v="0"/>
    <x v="1"/>
    <x v="3"/>
    <x v="0"/>
  </r>
  <r>
    <d v="2026-05-28T00:00:00"/>
    <x v="1"/>
    <n v="30"/>
    <n v="0.5"/>
    <n v="60"/>
    <n v="60"/>
    <n v="0"/>
    <n v="0"/>
    <n v="40"/>
    <n v="40"/>
    <n v="0"/>
    <n v="0"/>
    <x v="1"/>
    <x v="3"/>
    <x v="0"/>
  </r>
  <r>
    <d v="2026-05-29T00:00:00"/>
    <x v="1"/>
    <n v="24"/>
    <n v="0.3"/>
    <n v="60"/>
    <n v="60"/>
    <n v="0"/>
    <n v="0"/>
    <n v="40"/>
    <n v="40"/>
    <n v="0"/>
    <n v="0"/>
    <x v="0"/>
    <x v="3"/>
    <x v="0"/>
  </r>
  <r>
    <d v="2026-05-30T00:00:00"/>
    <x v="0"/>
    <n v="25"/>
    <n v="0"/>
    <n v="150"/>
    <n v="150"/>
    <n v="0"/>
    <n v="0"/>
    <n v="100"/>
    <n v="100"/>
    <n v="0"/>
    <n v="0"/>
    <x v="0"/>
    <x v="3"/>
    <x v="0"/>
  </r>
  <r>
    <d v="2026-05-31T00:00:00"/>
    <x v="0"/>
    <n v="20"/>
    <n v="0"/>
    <n v="150"/>
    <n v="150"/>
    <n v="0"/>
    <n v="0"/>
    <n v="100"/>
    <n v="100"/>
    <n v="0"/>
    <n v="0"/>
    <x v="0"/>
    <x v="3"/>
    <x v="0"/>
  </r>
  <r>
    <d v="2026-06-01T00:00:00"/>
    <x v="1"/>
    <n v="19"/>
    <n v="5.3"/>
    <n v="60"/>
    <n v="18"/>
    <n v="42"/>
    <n v="302.40000000000003"/>
    <n v="40"/>
    <n v="12"/>
    <n v="28"/>
    <n v="112"/>
    <x v="2"/>
    <x v="3"/>
    <x v="1"/>
  </r>
  <r>
    <d v="2026-06-02T00:00:00"/>
    <x v="1"/>
    <n v="19"/>
    <n v="7"/>
    <n v="60"/>
    <n v="18"/>
    <n v="42"/>
    <n v="302.40000000000003"/>
    <n v="40"/>
    <n v="12"/>
    <n v="28"/>
    <n v="112"/>
    <x v="2"/>
    <x v="3"/>
    <x v="1"/>
  </r>
  <r>
    <d v="2026-06-03T00:00:00"/>
    <x v="1"/>
    <n v="20"/>
    <n v="2.6"/>
    <n v="60"/>
    <n v="60"/>
    <n v="0"/>
    <n v="0"/>
    <n v="40"/>
    <n v="40"/>
    <n v="0"/>
    <n v="0"/>
    <x v="1"/>
    <x v="3"/>
    <x v="1"/>
  </r>
  <r>
    <d v="2026-06-04T00:00:00"/>
    <x v="1"/>
    <n v="17.2"/>
    <n v="2.2000000000000002"/>
    <n v="60"/>
    <n v="60"/>
    <n v="0"/>
    <n v="0"/>
    <n v="40"/>
    <n v="40"/>
    <n v="0"/>
    <n v="0"/>
    <x v="1"/>
    <x v="3"/>
    <x v="1"/>
  </r>
  <r>
    <d v="2026-06-05T00:00:00"/>
    <x v="1"/>
    <n v="16"/>
    <n v="0"/>
    <n v="60"/>
    <n v="60"/>
    <n v="0"/>
    <n v="0"/>
    <n v="40"/>
    <n v="40"/>
    <n v="0"/>
    <n v="0"/>
    <x v="0"/>
    <x v="3"/>
    <x v="1"/>
  </r>
  <r>
    <d v="2026-06-06T00:00:00"/>
    <x v="0"/>
    <n v="18"/>
    <n v="7.4"/>
    <n v="150"/>
    <n v="36"/>
    <n v="114"/>
    <n v="820.80000000000007"/>
    <n v="100"/>
    <n v="24"/>
    <n v="76"/>
    <n v="304"/>
    <x v="2"/>
    <x v="3"/>
    <x v="1"/>
  </r>
  <r>
    <d v="2026-06-07T00:00:00"/>
    <x v="0"/>
    <n v="19"/>
    <n v="0.8"/>
    <n v="150"/>
    <n v="150"/>
    <n v="0"/>
    <n v="0"/>
    <n v="100"/>
    <n v="100"/>
    <n v="0"/>
    <n v="0"/>
    <x v="0"/>
    <x v="3"/>
    <x v="1"/>
  </r>
  <r>
    <d v="2026-06-08T00:00:00"/>
    <x v="1"/>
    <n v="19"/>
    <n v="6.1"/>
    <n v="60"/>
    <n v="18"/>
    <n v="42"/>
    <n v="302.40000000000003"/>
    <n v="40"/>
    <n v="12"/>
    <n v="28"/>
    <n v="112"/>
    <x v="2"/>
    <x v="3"/>
    <x v="1"/>
  </r>
  <r>
    <d v="2026-06-09T00:00:00"/>
    <x v="1"/>
    <n v="17"/>
    <n v="2.8"/>
    <n v="60"/>
    <n v="60"/>
    <n v="0"/>
    <n v="0"/>
    <n v="40"/>
    <n v="40"/>
    <n v="0"/>
    <n v="0"/>
    <x v="1"/>
    <x v="3"/>
    <x v="1"/>
  </r>
  <r>
    <d v="2026-06-10T00:00:00"/>
    <x v="1"/>
    <n v="17"/>
    <n v="1.2"/>
    <n v="60"/>
    <n v="60"/>
    <n v="0"/>
    <n v="0"/>
    <n v="40"/>
    <n v="40"/>
    <n v="0"/>
    <n v="0"/>
    <x v="1"/>
    <x v="3"/>
    <x v="1"/>
  </r>
  <r>
    <d v="2026-06-11T00:00:00"/>
    <x v="1"/>
    <n v="18"/>
    <n v="4.5"/>
    <n v="60"/>
    <n v="60"/>
    <n v="0"/>
    <n v="0"/>
    <n v="40"/>
    <n v="40"/>
    <n v="0"/>
    <n v="0"/>
    <x v="1"/>
    <x v="3"/>
    <x v="1"/>
  </r>
  <r>
    <d v="2026-06-12T00:00:00"/>
    <x v="1"/>
    <n v="21"/>
    <n v="0.2"/>
    <n v="60"/>
    <n v="60"/>
    <n v="0"/>
    <n v="0"/>
    <n v="40"/>
    <n v="40"/>
    <n v="0"/>
    <n v="0"/>
    <x v="0"/>
    <x v="3"/>
    <x v="1"/>
  </r>
  <r>
    <d v="2026-06-13T00:00:00"/>
    <x v="0"/>
    <n v="20"/>
    <n v="0"/>
    <n v="150"/>
    <n v="150"/>
    <n v="0"/>
    <n v="0"/>
    <n v="100"/>
    <n v="100"/>
    <n v="0"/>
    <n v="0"/>
    <x v="0"/>
    <x v="3"/>
    <x v="1"/>
  </r>
  <r>
    <d v="2026-06-14T00:00:00"/>
    <x v="0"/>
    <n v="19.8"/>
    <n v="0"/>
    <n v="150"/>
    <n v="150"/>
    <n v="0"/>
    <n v="0"/>
    <n v="100"/>
    <n v="100"/>
    <n v="0"/>
    <n v="0"/>
    <x v="0"/>
    <x v="3"/>
    <x v="1"/>
  </r>
  <r>
    <d v="2026-06-15T00:00:00"/>
    <x v="1"/>
    <n v="24"/>
    <n v="2.2999999999999998"/>
    <n v="60"/>
    <n v="60"/>
    <n v="0"/>
    <n v="0"/>
    <n v="40"/>
    <n v="40"/>
    <n v="0"/>
    <n v="0"/>
    <x v="1"/>
    <x v="3"/>
    <x v="1"/>
  </r>
  <r>
    <d v="2026-06-16T00:00:00"/>
    <x v="1"/>
    <n v="21"/>
    <n v="0"/>
    <n v="60"/>
    <n v="60"/>
    <n v="0"/>
    <n v="0"/>
    <n v="40"/>
    <n v="40"/>
    <n v="0"/>
    <n v="0"/>
    <x v="1"/>
    <x v="3"/>
    <x v="1"/>
  </r>
  <r>
    <d v="2026-06-17T00:00:00"/>
    <x v="1"/>
    <n v="21"/>
    <n v="2.2999999999999998"/>
    <n v="60"/>
    <n v="60"/>
    <n v="0"/>
    <n v="0"/>
    <n v="40"/>
    <n v="40"/>
    <n v="0"/>
    <n v="0"/>
    <x v="1"/>
    <x v="3"/>
    <x v="1"/>
  </r>
  <r>
    <d v="2026-06-18T00:00:00"/>
    <x v="1"/>
    <n v="24"/>
    <n v="0"/>
    <n v="60"/>
    <n v="60"/>
    <n v="0"/>
    <n v="0"/>
    <n v="40"/>
    <n v="40"/>
    <n v="0"/>
    <n v="0"/>
    <x v="1"/>
    <x v="3"/>
    <x v="1"/>
  </r>
  <r>
    <d v="2026-06-19T00:00:00"/>
    <x v="1"/>
    <n v="25"/>
    <n v="0"/>
    <n v="60"/>
    <n v="60"/>
    <n v="0"/>
    <n v="0"/>
    <n v="40"/>
    <n v="40"/>
    <n v="0"/>
    <n v="0"/>
    <x v="0"/>
    <x v="3"/>
    <x v="1"/>
  </r>
  <r>
    <d v="2026-06-20T00:00:00"/>
    <x v="0"/>
    <n v="24"/>
    <n v="5.2"/>
    <n v="150"/>
    <n v="36"/>
    <n v="114"/>
    <n v="820.80000000000007"/>
    <n v="100"/>
    <n v="24"/>
    <n v="76"/>
    <n v="304"/>
    <x v="2"/>
    <x v="3"/>
    <x v="1"/>
  </r>
  <r>
    <d v="2026-06-21T00:00:00"/>
    <x v="0"/>
    <n v="28"/>
    <n v="0"/>
    <n v="150"/>
    <n v="150"/>
    <n v="0"/>
    <n v="0"/>
    <n v="100"/>
    <n v="100"/>
    <n v="0"/>
    <n v="0"/>
    <x v="0"/>
    <x v="3"/>
    <x v="1"/>
  </r>
  <r>
    <d v="2026-06-22T00:00:00"/>
    <x v="1"/>
    <n v="29.8"/>
    <n v="0"/>
    <n v="60"/>
    <n v="60"/>
    <n v="0"/>
    <n v="0"/>
    <n v="40"/>
    <n v="40"/>
    <n v="0"/>
    <n v="0"/>
    <x v="1"/>
    <x v="3"/>
    <x v="1"/>
  </r>
  <r>
    <d v="2026-06-23T00:00:00"/>
    <x v="1"/>
    <n v="34.700000000000003"/>
    <n v="0"/>
    <n v="60"/>
    <n v="9"/>
    <n v="51"/>
    <n v="367.2"/>
    <n v="40"/>
    <n v="6"/>
    <n v="34"/>
    <n v="136"/>
    <x v="3"/>
    <x v="3"/>
    <x v="1"/>
  </r>
  <r>
    <d v="2026-06-24T00:00:00"/>
    <x v="1"/>
    <n v="35.299999999999997"/>
    <n v="0"/>
    <n v="60"/>
    <n v="9"/>
    <n v="51"/>
    <n v="367.2"/>
    <n v="40"/>
    <n v="6"/>
    <n v="34"/>
    <n v="136"/>
    <x v="3"/>
    <x v="3"/>
    <x v="1"/>
  </r>
  <r>
    <d v="2026-06-25T00:00:00"/>
    <x v="1"/>
    <n v="34.200000000000003"/>
    <n v="0"/>
    <n v="60"/>
    <n v="9"/>
    <n v="51"/>
    <n v="367.2"/>
    <n v="40"/>
    <n v="6"/>
    <n v="34"/>
    <n v="136"/>
    <x v="1"/>
    <x v="3"/>
    <x v="1"/>
  </r>
  <r>
    <d v="2026-06-26T00:00:00"/>
    <x v="1"/>
    <n v="28.7"/>
    <n v="2.1"/>
    <n v="60"/>
    <n v="60"/>
    <n v="0"/>
    <n v="0"/>
    <n v="40"/>
    <n v="40"/>
    <n v="0"/>
    <n v="0"/>
    <x v="0"/>
    <x v="3"/>
    <x v="1"/>
  </r>
  <r>
    <d v="2026-06-27T00:00:00"/>
    <x v="0"/>
    <n v="27.2"/>
    <n v="1.2"/>
    <n v="150"/>
    <n v="150"/>
    <n v="0"/>
    <n v="0"/>
    <n v="100"/>
    <n v="100"/>
    <n v="0"/>
    <n v="0"/>
    <x v="0"/>
    <x v="3"/>
    <x v="1"/>
  </r>
  <r>
    <d v="2026-06-28T00:00:00"/>
    <x v="0"/>
    <n v="21.4"/>
    <n v="3.1"/>
    <n v="150"/>
    <n v="150"/>
    <n v="0"/>
    <n v="0"/>
    <n v="100"/>
    <n v="100"/>
    <n v="0"/>
    <n v="0"/>
    <x v="0"/>
    <x v="3"/>
    <x v="1"/>
  </r>
  <r>
    <d v="2026-06-29T00:00:00"/>
    <x v="1"/>
    <n v="21.2"/>
    <n v="0"/>
    <n v="60"/>
    <n v="60"/>
    <n v="0"/>
    <n v="0"/>
    <n v="40"/>
    <n v="40"/>
    <n v="0"/>
    <n v="0"/>
    <x v="1"/>
    <x v="3"/>
    <x v="1"/>
  </r>
  <r>
    <d v="2026-06-30T00:00:00"/>
    <x v="1"/>
    <n v="21.6"/>
    <n v="0"/>
    <n v="60"/>
    <n v="60"/>
    <n v="0"/>
    <n v="0"/>
    <n v="40"/>
    <n v="40"/>
    <n v="0"/>
    <n v="0"/>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911BF1-CF20-43E1-A626-710D91ADC0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15" firstHeaderRow="0" firstDataRow="1" firstDataCol="1"/>
  <pivotFields count="15">
    <pivotField numFmtId="14" showAll="0"/>
    <pivotField showAll="0">
      <items count="3">
        <item x="1"/>
        <item x="0"/>
        <item t="default"/>
      </items>
    </pivotField>
    <pivotField showAll="0"/>
    <pivotField showAll="0"/>
    <pivotField showAll="0"/>
    <pivotField showAll="0"/>
    <pivotField showAll="0"/>
    <pivotField dataField="1" numFmtId="164" showAll="0"/>
    <pivotField showAll="0"/>
    <pivotField showAll="0"/>
    <pivotField showAll="0"/>
    <pivotField dataField="1" numFmtId="164" showAll="0"/>
    <pivotField axis="axisRow" showAll="0">
      <items count="5">
        <item x="3"/>
        <item x="2"/>
        <item x="0"/>
        <item x="1"/>
        <item t="default"/>
      </items>
    </pivotField>
    <pivotField showAll="0"/>
    <pivotField showAll="0"/>
  </pivotFields>
  <rowFields count="1">
    <field x="12"/>
  </rowFields>
  <rowItems count="5">
    <i>
      <x/>
    </i>
    <i>
      <x v="1"/>
    </i>
    <i>
      <x v="2"/>
    </i>
    <i>
      <x v="3"/>
    </i>
    <i t="grand">
      <x/>
    </i>
  </rowItems>
  <colFields count="1">
    <field x="-2"/>
  </colFields>
  <colItems count="2">
    <i>
      <x/>
    </i>
    <i i="1">
      <x v="1"/>
    </i>
  </colItems>
  <dataFields count="2">
    <dataField name="Average of Beef_Financial_Loss_£" fld="7" subtotal="average" baseField="12" baseItem="0" numFmtId="164"/>
    <dataField name="Average of Pork_Financial_Loss_£" fld="11" subtotal="average" baseField="1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FB4D9-10F9-4F0A-ABC3-86DCE8C051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6" firstHeaderRow="0" firstDataRow="1" firstDataCol="1"/>
  <pivotFields count="15">
    <pivotField numFmtId="14" showAll="0"/>
    <pivotField showAll="0">
      <items count="3">
        <item x="1"/>
        <item x="0"/>
        <item t="default"/>
      </items>
    </pivotField>
    <pivotField showAll="0"/>
    <pivotField showAll="0"/>
    <pivotField showAll="0"/>
    <pivotField showAll="0"/>
    <pivotField showAll="0"/>
    <pivotField dataField="1" numFmtId="164" showAll="0"/>
    <pivotField showAll="0"/>
    <pivotField showAll="0"/>
    <pivotField showAll="0"/>
    <pivotField dataField="1" numFmtId="164" showAll="0"/>
    <pivotField axis="axisRow" showAll="0">
      <items count="5">
        <item x="3"/>
        <item x="2"/>
        <item x="0"/>
        <item x="1"/>
        <item t="default"/>
      </items>
    </pivotField>
    <pivotField showAll="0">
      <items count="5">
        <item x="0"/>
        <item x="1"/>
        <item x="2"/>
        <item x="3"/>
        <item t="default"/>
      </items>
    </pivotField>
    <pivotField showAll="0">
      <items count="3">
        <item x="0"/>
        <item x="1"/>
        <item t="default"/>
      </items>
    </pivotField>
  </pivotFields>
  <rowFields count="1">
    <field x="12"/>
  </rowFields>
  <rowItems count="5">
    <i>
      <x/>
    </i>
    <i>
      <x v="1"/>
    </i>
    <i>
      <x v="2"/>
    </i>
    <i>
      <x v="3"/>
    </i>
    <i t="grand">
      <x/>
    </i>
  </rowItems>
  <colFields count="1">
    <field x="-2"/>
  </colFields>
  <colItems count="2">
    <i>
      <x/>
    </i>
    <i i="1">
      <x v="1"/>
    </i>
  </colItems>
  <dataFields count="2">
    <dataField name="Sum of Beef_Financial_Loss_£" fld="7" baseField="0" baseItem="0" numFmtId="164"/>
    <dataField name="Sum of Pork_Financial_Loss_£" fld="11"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_or_BH" xr10:uid="{03F73F2E-FFBB-4A40-810B-0FEE1170DFB2}" sourceName="Is_Weekend_or_BH">
  <pivotTables>
    <pivotTable tabId="16" name="PivotTable5"/>
    <pivotTable tabId="16" name="PivotTable7"/>
  </pivotTables>
  <data>
    <tabular pivotCacheId="136006852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Filter" xr10:uid="{E25CF5C7-40C2-4600-97E9-B99E4372B717}" sourceName="Year_Filter">
  <pivotTables>
    <pivotTable tabId="16" name="PivotTable5"/>
  </pivotTables>
  <data>
    <tabular pivotCacheId="136006852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Filter" xr10:uid="{40695E47-DC7B-47BE-80E6-274DB9AF4E34}" sourceName="Month_Filter">
  <pivotTables>
    <pivotTable tabId="16" name="PivotTable5"/>
  </pivotTables>
  <data>
    <tabular pivotCacheId="136006852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Weekend_or_BH" xr10:uid="{1AB0D0EA-9008-444E-B8DE-F22E17918561}" cache="Slicer_Is_Weekend_or_BH" caption="Weekend / Bank Holiday" columnCount="2" rowHeight="234950"/>
  <slicer name="Year" xr10:uid="{C7C735BA-D0AF-4422-9A87-68BB69C6B8F5}" cache="Slicer_Year_Filter" caption="Year_Filter" columnCount="4" rowHeight="234950"/>
  <slicer name="Month_Filter" xr10:uid="{D22B1563-BC8E-46D8-80DF-58758F768F9C}" cache="Slicer_Month_Filter" caption="Month"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74806A-09EE-4129-9F76-8725BC3BE6A8}" name="Table1" displayName="Table1" ref="A24:C28" totalsRowShown="0">
  <autoFilter ref="A24:C28" xr:uid="{BC74806A-09EE-4129-9F76-8725BC3BE6A8}"/>
  <tableColumns count="3">
    <tableColumn id="1" xr3:uid="{18CA3E6F-8586-4035-99EE-EA0FDD2E212A}" name="Category" dataDxfId="5"/>
    <tableColumn id="2" xr3:uid="{EAEE0270-F861-4CD1-A16A-3A0BD29214DA}" name="Demand Change (Extreme Heat)" dataDxfId="4"/>
    <tableColumn id="3" xr3:uid="{7A7C1505-5AE0-4381-A59C-46625EC521DE}" name="Business Action"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B767860-6154-4F8D-B6BC-F5A7F47BA2E8}" name="Table5" displayName="Table5" ref="A38:C41" totalsRowShown="0">
  <autoFilter ref="A38:C41" xr:uid="{9B767860-6154-4F8D-B6BC-F5A7F47BA2E8}"/>
  <tableColumns count="3">
    <tableColumn id="1" xr3:uid="{24A5E2FC-C132-4DC9-A6B3-4178DFEF7CCA}" name="Sourcing Strategy" dataDxfId="2"/>
    <tableColumn id="2" xr3:uid="{DFDF6D5E-1D07-42D6-8080-FAB3B5A4A807}" name="Financial Impact (£)" dataDxfId="1">
      <calculatedColumnFormula>B33</calculatedColumnFormula>
    </tableColumn>
    <tableColumn id="3" xr3:uid="{EB4812B1-E95C-4634-98FC-29EAD1E63BF3}" name="Typ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meteostat.net/en/place/gb/gloucester?s=EGBJ0&amp;t=2026-06-12/2026-06-19" TargetMode="External"/><Relationship Id="rId2" Type="http://schemas.openxmlformats.org/officeDocument/2006/relationships/hyperlink" Target="https://foodfoundation.org.uk/sites/default/files/2025-05/TFF_Meat%20Facts.pdf" TargetMode="External"/><Relationship Id="rId1" Type="http://schemas.openxmlformats.org/officeDocument/2006/relationships/hyperlink" Target="https://ahdb.org.uk/beef/beef-markets" TargetMode="External"/><Relationship Id="rId5" Type="http://schemas.openxmlformats.org/officeDocument/2006/relationships/printerSettings" Target="../printerSettings/printerSettings1.bin"/><Relationship Id="rId4" Type="http://schemas.openxmlformats.org/officeDocument/2006/relationships/hyperlink" Target="https://ahdb.org.uk/beef/gb-deadweight-cattle-prices"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CB6A-5015-47B5-8DDD-3BD8F9912751}">
  <dimension ref="A2:I34"/>
  <sheetViews>
    <sheetView showGridLines="0" topLeftCell="A10" workbookViewId="0">
      <selection activeCell="B33" sqref="B33"/>
    </sheetView>
  </sheetViews>
  <sheetFormatPr defaultRowHeight="14.4"/>
  <sheetData>
    <row r="2" spans="2:2">
      <c r="B2" s="1" t="s">
        <v>57</v>
      </c>
    </row>
    <row r="4" spans="2:2">
      <c r="B4" s="1" t="s">
        <v>60</v>
      </c>
    </row>
    <row r="5" spans="2:2">
      <c r="B5" t="s">
        <v>64</v>
      </c>
    </row>
    <row r="9" spans="2:2">
      <c r="B9" s="1" t="s">
        <v>61</v>
      </c>
    </row>
    <row r="11" spans="2:2">
      <c r="B11" t="s">
        <v>73</v>
      </c>
    </row>
    <row r="12" spans="2:2">
      <c r="B12" t="s">
        <v>65</v>
      </c>
    </row>
    <row r="13" spans="2:2">
      <c r="B13" t="s">
        <v>77</v>
      </c>
    </row>
    <row r="14" spans="2:2">
      <c r="B14" t="s">
        <v>78</v>
      </c>
    </row>
    <row r="15" spans="2:2">
      <c r="B15" t="s">
        <v>76</v>
      </c>
    </row>
    <row r="16" spans="2:2">
      <c r="B16" t="s">
        <v>66</v>
      </c>
    </row>
    <row r="17" spans="2:2">
      <c r="B17" t="s">
        <v>75</v>
      </c>
    </row>
    <row r="18" spans="2:2">
      <c r="B18" t="s">
        <v>74</v>
      </c>
    </row>
    <row r="20" spans="2:2">
      <c r="B20" s="1" t="s">
        <v>62</v>
      </c>
    </row>
    <row r="21" spans="2:2">
      <c r="B21" t="s">
        <v>58</v>
      </c>
    </row>
    <row r="22" spans="2:2">
      <c r="B22" t="s">
        <v>69</v>
      </c>
    </row>
    <row r="23" spans="2:2">
      <c r="B23" t="s">
        <v>67</v>
      </c>
    </row>
    <row r="24" spans="2:2">
      <c r="B24" t="s">
        <v>68</v>
      </c>
    </row>
    <row r="26" spans="2:2">
      <c r="B26" s="1" t="s">
        <v>63</v>
      </c>
    </row>
    <row r="27" spans="2:2">
      <c r="B27" t="s">
        <v>70</v>
      </c>
    </row>
    <row r="28" spans="2:2">
      <c r="B28" t="s">
        <v>71</v>
      </c>
    </row>
    <row r="29" spans="2:2">
      <c r="B29" t="s">
        <v>72</v>
      </c>
    </row>
    <row r="32" spans="2:2">
      <c r="B32" t="s">
        <v>59</v>
      </c>
    </row>
    <row r="33" spans="1:9">
      <c r="A33" s="1"/>
      <c r="B33" s="1" t="s">
        <v>80</v>
      </c>
      <c r="C33" s="1"/>
      <c r="D33" s="1"/>
      <c r="E33" s="1"/>
      <c r="F33" s="1"/>
      <c r="G33" s="1"/>
      <c r="H33" s="1"/>
      <c r="I33" s="1"/>
    </row>
    <row r="34" spans="1:9">
      <c r="A34" s="1"/>
      <c r="B34" s="1" t="s">
        <v>79</v>
      </c>
      <c r="C34" s="1"/>
      <c r="D34" s="1"/>
      <c r="E34" s="1"/>
      <c r="F34" s="1"/>
      <c r="G34" s="1"/>
      <c r="H34" s="1"/>
      <c r="I3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22DD-3275-4562-B777-2E8E8DC46518}">
  <dimension ref="A1:F19"/>
  <sheetViews>
    <sheetView topLeftCell="A4" workbookViewId="0">
      <selection activeCell="K6" sqref="K6"/>
    </sheetView>
  </sheetViews>
  <sheetFormatPr defaultRowHeight="14.4"/>
  <cols>
    <col min="1" max="1" width="14.88671875" customWidth="1"/>
    <col min="2" max="2" width="9.88671875" bestFit="1" customWidth="1"/>
    <col min="3" max="3" width="12.5546875" style="10" bestFit="1" customWidth="1"/>
    <col min="4" max="4" width="24.5546875" bestFit="1" customWidth="1"/>
    <col min="5" max="5" width="18.109375" bestFit="1" customWidth="1"/>
    <col min="6" max="6" width="14.5546875" customWidth="1"/>
  </cols>
  <sheetData>
    <row r="1" spans="1:6" ht="31.8" thickBot="1">
      <c r="A1" s="27" t="s">
        <v>86</v>
      </c>
      <c r="B1" s="27" t="s">
        <v>84</v>
      </c>
      <c r="C1" s="27" t="s">
        <v>0</v>
      </c>
      <c r="D1" s="27" t="s">
        <v>87</v>
      </c>
      <c r="E1" s="27" t="s">
        <v>88</v>
      </c>
      <c r="F1" s="27" t="s">
        <v>85</v>
      </c>
    </row>
    <row r="2" spans="1:6" ht="156.6" thickBot="1">
      <c r="A2" s="23" t="s">
        <v>89</v>
      </c>
      <c r="B2" s="24" t="s">
        <v>90</v>
      </c>
      <c r="C2" s="25">
        <v>46204</v>
      </c>
      <c r="D2" s="24" t="s">
        <v>91</v>
      </c>
      <c r="E2" s="24" t="s">
        <v>105</v>
      </c>
      <c r="F2" s="24" t="s">
        <v>92</v>
      </c>
    </row>
    <row r="3" spans="1:6" ht="172.2" thickBot="1">
      <c r="A3" s="23" t="s">
        <v>93</v>
      </c>
      <c r="B3" s="24" t="s">
        <v>94</v>
      </c>
      <c r="C3" s="25">
        <v>46206</v>
      </c>
      <c r="D3" s="24" t="s">
        <v>95</v>
      </c>
      <c r="E3" s="24" t="s">
        <v>102</v>
      </c>
      <c r="F3" s="24" t="s">
        <v>92</v>
      </c>
    </row>
    <row r="4" spans="1:6" ht="156.6" thickBot="1">
      <c r="A4" s="23" t="s">
        <v>96</v>
      </c>
      <c r="B4" s="24" t="s">
        <v>81</v>
      </c>
      <c r="C4" s="25">
        <v>46208</v>
      </c>
      <c r="D4" s="24" t="s">
        <v>97</v>
      </c>
      <c r="E4" s="24" t="s">
        <v>103</v>
      </c>
      <c r="F4" s="24" t="s">
        <v>92</v>
      </c>
    </row>
    <row r="5" spans="1:6" ht="109.8" thickBot="1">
      <c r="A5" s="23" t="s">
        <v>96</v>
      </c>
      <c r="B5" s="24" t="s">
        <v>82</v>
      </c>
      <c r="C5" s="25">
        <v>46209</v>
      </c>
      <c r="D5" s="24" t="s">
        <v>98</v>
      </c>
      <c r="E5" s="24" t="s">
        <v>104</v>
      </c>
      <c r="F5" s="24" t="s">
        <v>92</v>
      </c>
    </row>
    <row r="6" spans="1:6" ht="141" thickBot="1">
      <c r="A6" s="23" t="s">
        <v>99</v>
      </c>
      <c r="B6" s="24" t="s">
        <v>83</v>
      </c>
      <c r="C6" s="26" t="s">
        <v>100</v>
      </c>
      <c r="D6" s="24" t="s">
        <v>101</v>
      </c>
      <c r="E6" s="24" t="s">
        <v>106</v>
      </c>
      <c r="F6" s="24" t="s">
        <v>92</v>
      </c>
    </row>
    <row r="7" spans="1:6">
      <c r="C7"/>
    </row>
    <row r="8" spans="1:6">
      <c r="C8"/>
    </row>
    <row r="9" spans="1:6">
      <c r="C9"/>
    </row>
    <row r="10" spans="1:6">
      <c r="C10"/>
    </row>
    <row r="11" spans="1:6">
      <c r="C11"/>
    </row>
    <row r="12" spans="1:6">
      <c r="C12"/>
    </row>
    <row r="13" spans="1:6">
      <c r="C13"/>
    </row>
    <row r="14" spans="1:6">
      <c r="C14"/>
    </row>
    <row r="15" spans="1:6">
      <c r="C15"/>
    </row>
    <row r="16" spans="1:6">
      <c r="C16"/>
    </row>
    <row r="17" spans="3:3">
      <c r="C17"/>
    </row>
    <row r="18" spans="3:3">
      <c r="C18"/>
    </row>
    <row r="19" spans="3:3">
      <c r="C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9B0FE-6111-4C3E-B20A-447D17D1EAC8}">
  <dimension ref="A1:E36"/>
  <sheetViews>
    <sheetView workbookViewId="0">
      <selection activeCell="E14" sqref="E14"/>
    </sheetView>
  </sheetViews>
  <sheetFormatPr defaultRowHeight="15.6"/>
  <cols>
    <col min="1" max="1" width="12.88671875" style="28" bestFit="1" customWidth="1"/>
    <col min="2" max="2" width="70.33203125" style="28" bestFit="1" customWidth="1"/>
    <col min="3" max="3" width="26.88671875" style="28" customWidth="1"/>
    <col min="4" max="4" width="20.33203125" style="28" customWidth="1"/>
    <col min="5" max="5" width="27" style="28" customWidth="1"/>
    <col min="6" max="16384" width="8.88671875" style="28"/>
  </cols>
  <sheetData>
    <row r="1" spans="1:5" ht="21.6" thickBot="1">
      <c r="A1" s="36"/>
      <c r="B1" s="36" t="s">
        <v>56</v>
      </c>
      <c r="C1" s="37"/>
      <c r="D1" s="37"/>
      <c r="E1" s="37"/>
    </row>
    <row r="2" spans="1:5" ht="30.6" thickBot="1">
      <c r="A2" s="29">
        <v>1</v>
      </c>
      <c r="B2" s="30" t="s">
        <v>107</v>
      </c>
      <c r="C2" s="31" t="s">
        <v>120</v>
      </c>
      <c r="D2" s="30" t="s">
        <v>108</v>
      </c>
      <c r="E2" s="32" t="s">
        <v>109</v>
      </c>
    </row>
    <row r="3" spans="1:5" ht="31.8" thickBot="1">
      <c r="A3" s="29">
        <v>2</v>
      </c>
      <c r="B3" s="30" t="s">
        <v>110</v>
      </c>
      <c r="C3" s="31" t="s">
        <v>121</v>
      </c>
      <c r="D3" s="30" t="s">
        <v>111</v>
      </c>
      <c r="E3" s="32" t="s">
        <v>112</v>
      </c>
    </row>
    <row r="4" spans="1:5" ht="60.6" thickBot="1">
      <c r="A4" s="29">
        <v>3</v>
      </c>
      <c r="B4" s="30" t="s">
        <v>113</v>
      </c>
      <c r="C4" s="31" t="s">
        <v>114</v>
      </c>
      <c r="D4" s="30" t="s">
        <v>115</v>
      </c>
      <c r="E4" s="32" t="s">
        <v>116</v>
      </c>
    </row>
    <row r="5" spans="1:5" ht="31.8" thickBot="1">
      <c r="A5" s="29">
        <v>4</v>
      </c>
      <c r="B5" s="30" t="s">
        <v>117</v>
      </c>
      <c r="C5" s="31" t="s">
        <v>122</v>
      </c>
      <c r="D5" s="30" t="s">
        <v>118</v>
      </c>
      <c r="E5" s="32" t="s">
        <v>119</v>
      </c>
    </row>
    <row r="21" spans="1:4">
      <c r="A21" s="33"/>
      <c r="B21" s="33"/>
      <c r="C21" s="33"/>
      <c r="D21" s="33"/>
    </row>
    <row r="22" spans="1:4">
      <c r="A22" s="22"/>
      <c r="B22" s="22"/>
      <c r="C22" s="22"/>
      <c r="D22" s="22"/>
    </row>
    <row r="23" spans="1:4">
      <c r="A23" s="34"/>
      <c r="B23" s="34"/>
      <c r="C23" s="34"/>
      <c r="D23" s="34"/>
    </row>
    <row r="24" spans="1:4">
      <c r="A24" s="34"/>
      <c r="B24" s="34"/>
      <c r="C24" s="34"/>
      <c r="D24" s="34"/>
    </row>
    <row r="25" spans="1:4">
      <c r="A25" s="34"/>
      <c r="B25" s="34"/>
      <c r="C25" s="34"/>
      <c r="D25" s="34"/>
    </row>
    <row r="26" spans="1:4">
      <c r="A26" s="34"/>
      <c r="B26" s="34"/>
      <c r="C26" s="34"/>
      <c r="D26" s="34"/>
    </row>
    <row r="27" spans="1:4">
      <c r="A27" s="35"/>
      <c r="B27" s="35"/>
      <c r="C27" s="35"/>
      <c r="D27" s="35"/>
    </row>
    <row r="28" spans="1:4">
      <c r="A28" s="35"/>
      <c r="B28" s="35"/>
      <c r="C28" s="35"/>
      <c r="D28" s="35"/>
    </row>
    <row r="29" spans="1:4">
      <c r="A29" s="35"/>
      <c r="B29" s="35"/>
      <c r="C29" s="35"/>
      <c r="D29" s="35"/>
    </row>
    <row r="30" spans="1:4">
      <c r="A30" s="35"/>
      <c r="B30" s="35"/>
      <c r="C30" s="35"/>
      <c r="D30" s="35"/>
    </row>
    <row r="31" spans="1:4">
      <c r="A31" s="35"/>
      <c r="B31" s="35"/>
      <c r="C31" s="35"/>
      <c r="D31" s="35"/>
    </row>
    <row r="32" spans="1:4">
      <c r="A32" s="35"/>
      <c r="B32" s="35"/>
      <c r="C32" s="35"/>
      <c r="D32" s="35"/>
    </row>
    <row r="33" spans="1:4">
      <c r="A33" s="35"/>
      <c r="B33" s="35"/>
      <c r="C33" s="35"/>
      <c r="D33" s="35"/>
    </row>
    <row r="34" spans="1:4">
      <c r="A34" s="35"/>
      <c r="B34" s="35"/>
      <c r="C34" s="35"/>
      <c r="D34" s="35"/>
    </row>
    <row r="35" spans="1:4">
      <c r="A35" s="35"/>
      <c r="B35" s="35"/>
      <c r="C35" s="35"/>
      <c r="D35" s="35"/>
    </row>
    <row r="36" spans="1:4">
      <c r="A36" s="35"/>
      <c r="B36" s="35"/>
      <c r="C36" s="35"/>
      <c r="D36" s="35"/>
    </row>
  </sheetData>
  <hyperlinks>
    <hyperlink ref="E2" r:id="rId1" display="https://ahdb.org.uk/beef/beef-markets" xr:uid="{93F17A85-F3EA-489D-B363-2E3947C453A9}"/>
    <hyperlink ref="E3" r:id="rId2" display="https://foodfoundation.org.uk/sites/default/files/2025-05/TFF_Meat Facts.pdf" xr:uid="{1A26D915-78E2-401C-9D49-3319C5041369}"/>
    <hyperlink ref="E4" r:id="rId3" display="https://meteostat.net/en/place/gb/gloucester?s=EGBJ0&amp;t=2026-06-12/2026-06-19" xr:uid="{165CFA02-7A40-46E1-99C4-AA99C9292B97}"/>
    <hyperlink ref="E5" r:id="rId4" display="https://ahdb.org.uk/beef/gb-deadweight-cattle-prices" xr:uid="{4415778C-BD51-409C-946F-BCECFD27987D}"/>
  </hyperlinks>
  <pageMargins left="0.7" right="0.7" top="0.75" bottom="0.75" header="0.3" footer="0.3"/>
  <pageSetup paperSize="9" orientation="portrait" horizontalDpi="4294967293" verticalDpi="4294967293"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6"/>
  <sheetViews>
    <sheetView workbookViewId="0">
      <selection activeCell="A15" sqref="A15"/>
    </sheetView>
  </sheetViews>
  <sheetFormatPr defaultRowHeight="14.4"/>
  <cols>
    <col min="1" max="1" width="10.5546875" bestFit="1" customWidth="1"/>
    <col min="2" max="2" width="17.6640625" bestFit="1" customWidth="1"/>
    <col min="3" max="3" width="18.88671875" bestFit="1" customWidth="1"/>
    <col min="4" max="4" width="11.5546875" bestFit="1" customWidth="1"/>
    <col min="5" max="5" width="22.5546875" bestFit="1" customWidth="1"/>
    <col min="6" max="6" width="19.5546875" bestFit="1" customWidth="1"/>
    <col min="7" max="7" width="22" bestFit="1" customWidth="1"/>
    <col min="8" max="8" width="19.88671875" style="7" bestFit="1" customWidth="1"/>
    <col min="9" max="9" width="22.6640625" bestFit="1" customWidth="1"/>
    <col min="10" max="10" width="19.6640625" bestFit="1" customWidth="1"/>
    <col min="11" max="11" width="21.109375" bestFit="1" customWidth="1"/>
    <col min="12" max="12" width="20" style="7" bestFit="1" customWidth="1"/>
    <col min="13" max="13" width="17.21875" bestFit="1" customWidth="1"/>
    <col min="14" max="14" width="9.77734375" bestFit="1" customWidth="1"/>
    <col min="15" max="15" width="11.88671875" bestFit="1" customWidth="1"/>
  </cols>
  <sheetData>
    <row r="1" spans="1:15" s="3" customFormat="1">
      <c r="A1" s="3" t="s">
        <v>0</v>
      </c>
      <c r="B1" s="2" t="s">
        <v>1</v>
      </c>
      <c r="C1" s="3" t="s">
        <v>2</v>
      </c>
      <c r="D1" s="3" t="s">
        <v>3</v>
      </c>
      <c r="E1" s="3" t="s">
        <v>4</v>
      </c>
      <c r="F1" s="3" t="s">
        <v>5</v>
      </c>
      <c r="G1" s="4" t="s">
        <v>6</v>
      </c>
      <c r="H1" s="8" t="s">
        <v>7</v>
      </c>
      <c r="I1" s="3" t="s">
        <v>8</v>
      </c>
      <c r="J1" s="3" t="s">
        <v>9</v>
      </c>
      <c r="K1" s="3" t="s">
        <v>10</v>
      </c>
      <c r="L1" s="8" t="s">
        <v>11</v>
      </c>
      <c r="M1" s="2" t="s">
        <v>15</v>
      </c>
      <c r="N1" s="3" t="s">
        <v>24</v>
      </c>
      <c r="O1" s="3" t="s">
        <v>25</v>
      </c>
    </row>
    <row r="2" spans="1:15">
      <c r="A2" s="5">
        <v>45047</v>
      </c>
      <c r="B2" s="6" t="s">
        <v>12</v>
      </c>
      <c r="C2">
        <f>_xlfn.XLOOKUP(A2,Weather_clean_data!A:A,Weather_clean_data!B:B,0)</f>
        <v>18</v>
      </c>
      <c r="D2">
        <f>_xlfn.XLOOKUP(A2, Weather_clean_data!A:A, Weather_clean_data!C:C, 0)</f>
        <v>1.3</v>
      </c>
      <c r="E2">
        <f>IF(B2="Yes", 150, 60)</f>
        <v>150</v>
      </c>
      <c r="F2">
        <f>IF(C2&gt;30,E2*0.15,IF(D2&gt;5,IF(B2="YES",36,18),E2))</f>
        <v>150</v>
      </c>
      <c r="G2">
        <f>E2-F2</f>
        <v>0</v>
      </c>
      <c r="H2" s="7">
        <f>G2 * 7.2</f>
        <v>0</v>
      </c>
      <c r="I2">
        <f>IF(B2="Yes", 100, 40)</f>
        <v>100</v>
      </c>
      <c r="J2">
        <f>IF(C2&gt;30,I2*0.15,IF(D2&gt;5,IF(B2="YES",24,12),I2))</f>
        <v>100</v>
      </c>
      <c r="K2">
        <f>I2-J2</f>
        <v>0</v>
      </c>
      <c r="L2" s="7">
        <f>K2 * 4</f>
        <v>0</v>
      </c>
      <c r="M2" t="s">
        <v>16</v>
      </c>
      <c r="N2">
        <v>2023</v>
      </c>
      <c r="O2" t="s">
        <v>26</v>
      </c>
    </row>
    <row r="3" spans="1:15">
      <c r="A3" s="5">
        <v>45048</v>
      </c>
      <c r="B3" s="6" t="str">
        <f t="shared" ref="B3:B66" si="0">IF( WEEKDAY(A3, 2)  &gt;  5, "YES", "NO")</f>
        <v>NO</v>
      </c>
      <c r="C3">
        <f>_xlfn.XLOOKUP(A3,Weather_clean_data!A:A,Weather_clean_data!B:B,0)</f>
        <v>17</v>
      </c>
      <c r="D3">
        <f>_xlfn.XLOOKUP(A3, Weather_clean_data!A:A, Weather_clean_data!C:C, 0)</f>
        <v>0.1</v>
      </c>
      <c r="E3">
        <f t="shared" ref="E3:E66" si="1">IF(B3="Yes", 150, 60)</f>
        <v>60</v>
      </c>
      <c r="F3">
        <f t="shared" ref="F3:F66" si="2">IF(C3&gt;30,E3*0.15,IF(D3&gt;5,IF(B3="YES",36,18),E3))</f>
        <v>60</v>
      </c>
      <c r="G3">
        <f t="shared" ref="G3:G66" si="3">E3-F3</f>
        <v>0</v>
      </c>
      <c r="H3" s="7">
        <f t="shared" ref="H3:H66" si="4">G3 * 7.2</f>
        <v>0</v>
      </c>
      <c r="I3">
        <f t="shared" ref="I3:I66" si="5">IF(B3="Yes", 100, 40)</f>
        <v>40</v>
      </c>
      <c r="J3">
        <f t="shared" ref="J3:J66" si="6">IF(C3&gt;30,I3*0.15,IF(D3&gt;5,IF(B3="YES",24,12),I3))</f>
        <v>40</v>
      </c>
      <c r="K3">
        <f t="shared" ref="K3:K66" si="7">I3-J3</f>
        <v>0</v>
      </c>
      <c r="L3" s="7">
        <f t="shared" ref="L3:L66" si="8">K3 * 4</f>
        <v>0</v>
      </c>
      <c r="M3" t="s">
        <v>17</v>
      </c>
      <c r="N3">
        <v>2023</v>
      </c>
      <c r="O3" t="s">
        <v>26</v>
      </c>
    </row>
    <row r="4" spans="1:15">
      <c r="A4" s="5">
        <v>45049</v>
      </c>
      <c r="B4" s="6" t="str">
        <f t="shared" si="0"/>
        <v>NO</v>
      </c>
      <c r="C4">
        <f>_xlfn.XLOOKUP(A4,Weather_clean_data!A:A,Weather_clean_data!B:B,0)</f>
        <v>16</v>
      </c>
      <c r="D4">
        <f>_xlfn.XLOOKUP(A4, Weather_clean_data!A:A, Weather_clean_data!C:C, 0)</f>
        <v>0</v>
      </c>
      <c r="E4">
        <f t="shared" si="1"/>
        <v>60</v>
      </c>
      <c r="F4">
        <f t="shared" si="2"/>
        <v>60</v>
      </c>
      <c r="G4">
        <f t="shared" si="3"/>
        <v>0</v>
      </c>
      <c r="H4" s="7">
        <f t="shared" si="4"/>
        <v>0</v>
      </c>
      <c r="I4">
        <f t="shared" si="5"/>
        <v>40</v>
      </c>
      <c r="J4">
        <f t="shared" si="6"/>
        <v>40</v>
      </c>
      <c r="K4">
        <f t="shared" si="7"/>
        <v>0</v>
      </c>
      <c r="L4" s="7">
        <f t="shared" si="8"/>
        <v>0</v>
      </c>
      <c r="M4" t="s">
        <v>17</v>
      </c>
      <c r="N4">
        <v>2023</v>
      </c>
      <c r="O4" t="s">
        <v>26</v>
      </c>
    </row>
    <row r="5" spans="1:15">
      <c r="A5" s="5">
        <v>45050</v>
      </c>
      <c r="B5" s="6" t="str">
        <f t="shared" si="0"/>
        <v>NO</v>
      </c>
      <c r="C5">
        <f>_xlfn.XLOOKUP(A5,Weather_clean_data!A:A,Weather_clean_data!B:B,0)</f>
        <v>18</v>
      </c>
      <c r="D5">
        <f>_xlfn.XLOOKUP(A5, Weather_clean_data!A:A, Weather_clean_data!C:C, 0)</f>
        <v>1.9</v>
      </c>
      <c r="E5">
        <f t="shared" si="1"/>
        <v>60</v>
      </c>
      <c r="F5">
        <f t="shared" si="2"/>
        <v>60</v>
      </c>
      <c r="G5">
        <f t="shared" si="3"/>
        <v>0</v>
      </c>
      <c r="H5" s="7">
        <f t="shared" si="4"/>
        <v>0</v>
      </c>
      <c r="I5">
        <f t="shared" si="5"/>
        <v>40</v>
      </c>
      <c r="J5">
        <f t="shared" si="6"/>
        <v>40</v>
      </c>
      <c r="K5">
        <f t="shared" si="7"/>
        <v>0</v>
      </c>
      <c r="L5" s="7">
        <f t="shared" si="8"/>
        <v>0</v>
      </c>
      <c r="M5" t="s">
        <v>17</v>
      </c>
      <c r="N5">
        <v>2023</v>
      </c>
      <c r="O5" t="s">
        <v>26</v>
      </c>
    </row>
    <row r="6" spans="1:15">
      <c r="A6" s="5">
        <v>45051</v>
      </c>
      <c r="B6" s="6" t="str">
        <f t="shared" si="0"/>
        <v>NO</v>
      </c>
      <c r="C6">
        <f>_xlfn.XLOOKUP(A6,Weather_clean_data!A:A,Weather_clean_data!B:B,0)</f>
        <v>18</v>
      </c>
      <c r="D6">
        <f>_xlfn.XLOOKUP(A6, Weather_clean_data!A:A, Weather_clean_data!C:C, 0)</f>
        <v>2.5</v>
      </c>
      <c r="E6">
        <f t="shared" si="1"/>
        <v>60</v>
      </c>
      <c r="F6">
        <f t="shared" si="2"/>
        <v>60</v>
      </c>
      <c r="G6">
        <f t="shared" si="3"/>
        <v>0</v>
      </c>
      <c r="H6" s="7">
        <f t="shared" si="4"/>
        <v>0</v>
      </c>
      <c r="I6">
        <f t="shared" si="5"/>
        <v>40</v>
      </c>
      <c r="J6">
        <f t="shared" si="6"/>
        <v>40</v>
      </c>
      <c r="K6">
        <f t="shared" si="7"/>
        <v>0</v>
      </c>
      <c r="L6" s="7">
        <f t="shared" si="8"/>
        <v>0</v>
      </c>
      <c r="M6" t="s">
        <v>16</v>
      </c>
      <c r="N6">
        <v>2023</v>
      </c>
      <c r="O6" t="s">
        <v>26</v>
      </c>
    </row>
    <row r="7" spans="1:15">
      <c r="A7" s="5">
        <v>45052</v>
      </c>
      <c r="B7" s="6" t="str">
        <f t="shared" si="0"/>
        <v>YES</v>
      </c>
      <c r="C7">
        <f>_xlfn.XLOOKUP(A7,Weather_clean_data!A:A,Weather_clean_data!B:B,0)</f>
        <v>16</v>
      </c>
      <c r="D7">
        <f>_xlfn.XLOOKUP(A7, Weather_clean_data!A:A, Weather_clean_data!C:C, 0)</f>
        <v>2.2999999999999998</v>
      </c>
      <c r="E7">
        <f t="shared" si="1"/>
        <v>150</v>
      </c>
      <c r="F7">
        <f t="shared" si="2"/>
        <v>150</v>
      </c>
      <c r="G7">
        <f t="shared" si="3"/>
        <v>0</v>
      </c>
      <c r="H7" s="7">
        <f t="shared" si="4"/>
        <v>0</v>
      </c>
      <c r="I7">
        <f t="shared" si="5"/>
        <v>100</v>
      </c>
      <c r="J7">
        <f t="shared" si="6"/>
        <v>100</v>
      </c>
      <c r="K7">
        <f t="shared" si="7"/>
        <v>0</v>
      </c>
      <c r="L7" s="7">
        <f t="shared" si="8"/>
        <v>0</v>
      </c>
      <c r="M7" t="s">
        <v>16</v>
      </c>
      <c r="N7">
        <v>2023</v>
      </c>
      <c r="O7" t="s">
        <v>26</v>
      </c>
    </row>
    <row r="8" spans="1:15">
      <c r="A8" s="5">
        <v>45053</v>
      </c>
      <c r="B8" s="6" t="str">
        <f t="shared" si="0"/>
        <v>YES</v>
      </c>
      <c r="C8">
        <f>_xlfn.XLOOKUP(A8,Weather_clean_data!A:A,Weather_clean_data!B:B,0)</f>
        <v>19</v>
      </c>
      <c r="D8">
        <f>_xlfn.XLOOKUP(A8, Weather_clean_data!A:A, Weather_clean_data!C:C, 0)</f>
        <v>0</v>
      </c>
      <c r="E8">
        <f t="shared" si="1"/>
        <v>150</v>
      </c>
      <c r="F8">
        <f t="shared" si="2"/>
        <v>150</v>
      </c>
      <c r="G8">
        <f t="shared" si="3"/>
        <v>0</v>
      </c>
      <c r="H8" s="7">
        <f t="shared" si="4"/>
        <v>0</v>
      </c>
      <c r="I8">
        <f t="shared" si="5"/>
        <v>100</v>
      </c>
      <c r="J8">
        <f t="shared" si="6"/>
        <v>100</v>
      </c>
      <c r="K8">
        <f t="shared" si="7"/>
        <v>0</v>
      </c>
      <c r="L8" s="7">
        <f t="shared" si="8"/>
        <v>0</v>
      </c>
      <c r="M8" t="s">
        <v>16</v>
      </c>
      <c r="N8">
        <v>2023</v>
      </c>
      <c r="O8" t="s">
        <v>26</v>
      </c>
    </row>
    <row r="9" spans="1:15">
      <c r="A9" s="5">
        <v>45054</v>
      </c>
      <c r="B9" s="6" t="s">
        <v>12</v>
      </c>
      <c r="C9">
        <f>_xlfn.XLOOKUP(A9,Weather_clean_data!A:A,Weather_clean_data!B:B,0)</f>
        <v>16</v>
      </c>
      <c r="D9">
        <f>_xlfn.XLOOKUP(A9, Weather_clean_data!A:A, Weather_clean_data!C:C, 0)</f>
        <v>9.3000000000000007</v>
      </c>
      <c r="E9">
        <f t="shared" si="1"/>
        <v>150</v>
      </c>
      <c r="F9">
        <f t="shared" si="2"/>
        <v>36</v>
      </c>
      <c r="G9">
        <f t="shared" si="3"/>
        <v>114</v>
      </c>
      <c r="H9" s="7">
        <f t="shared" si="4"/>
        <v>820.80000000000007</v>
      </c>
      <c r="I9">
        <f t="shared" si="5"/>
        <v>100</v>
      </c>
      <c r="J9">
        <f t="shared" si="6"/>
        <v>24</v>
      </c>
      <c r="K9">
        <f t="shared" si="7"/>
        <v>76</v>
      </c>
      <c r="L9" s="7">
        <f t="shared" si="8"/>
        <v>304</v>
      </c>
      <c r="M9" t="s">
        <v>18</v>
      </c>
      <c r="N9">
        <v>2023</v>
      </c>
      <c r="O9" t="s">
        <v>26</v>
      </c>
    </row>
    <row r="10" spans="1:15">
      <c r="A10" s="5">
        <v>45055</v>
      </c>
      <c r="B10" s="6" t="str">
        <f t="shared" si="0"/>
        <v>NO</v>
      </c>
      <c r="C10">
        <f>_xlfn.XLOOKUP(A10,Weather_clean_data!A:A,Weather_clean_data!B:B,0)</f>
        <v>18</v>
      </c>
      <c r="D10">
        <f>_xlfn.XLOOKUP(A10, Weather_clean_data!A:A, Weather_clean_data!C:C, 0)</f>
        <v>10.199999999999999</v>
      </c>
      <c r="E10">
        <f t="shared" si="1"/>
        <v>60</v>
      </c>
      <c r="F10">
        <f t="shared" si="2"/>
        <v>18</v>
      </c>
      <c r="G10">
        <f t="shared" si="3"/>
        <v>42</v>
      </c>
      <c r="H10" s="7">
        <f t="shared" si="4"/>
        <v>302.40000000000003</v>
      </c>
      <c r="I10">
        <f t="shared" si="5"/>
        <v>40</v>
      </c>
      <c r="J10">
        <f t="shared" si="6"/>
        <v>12</v>
      </c>
      <c r="K10">
        <f t="shared" si="7"/>
        <v>28</v>
      </c>
      <c r="L10" s="7">
        <f t="shared" si="8"/>
        <v>112</v>
      </c>
      <c r="M10" t="s">
        <v>18</v>
      </c>
      <c r="N10">
        <v>2023</v>
      </c>
      <c r="O10" t="s">
        <v>26</v>
      </c>
    </row>
    <row r="11" spans="1:15">
      <c r="A11" s="5">
        <v>45056</v>
      </c>
      <c r="B11" s="6" t="str">
        <f t="shared" si="0"/>
        <v>NO</v>
      </c>
      <c r="C11">
        <f>_xlfn.XLOOKUP(A11,Weather_clean_data!A:A,Weather_clean_data!B:B,0)</f>
        <v>16</v>
      </c>
      <c r="D11">
        <f>_xlfn.XLOOKUP(A11, Weather_clean_data!A:A, Weather_clean_data!C:C, 0)</f>
        <v>3.2</v>
      </c>
      <c r="E11">
        <f t="shared" si="1"/>
        <v>60</v>
      </c>
      <c r="F11">
        <f t="shared" si="2"/>
        <v>60</v>
      </c>
      <c r="G11">
        <f t="shared" si="3"/>
        <v>0</v>
      </c>
      <c r="H11" s="7">
        <f t="shared" si="4"/>
        <v>0</v>
      </c>
      <c r="I11">
        <f t="shared" si="5"/>
        <v>40</v>
      </c>
      <c r="J11">
        <f t="shared" si="6"/>
        <v>40</v>
      </c>
      <c r="K11">
        <f t="shared" si="7"/>
        <v>0</v>
      </c>
      <c r="L11" s="7">
        <f t="shared" si="8"/>
        <v>0</v>
      </c>
      <c r="M11" t="s">
        <v>17</v>
      </c>
      <c r="N11">
        <v>2023</v>
      </c>
      <c r="O11" t="s">
        <v>26</v>
      </c>
    </row>
    <row r="12" spans="1:15">
      <c r="A12" s="5">
        <v>45057</v>
      </c>
      <c r="B12" s="6" t="str">
        <f t="shared" si="0"/>
        <v>NO</v>
      </c>
      <c r="C12">
        <f>_xlfn.XLOOKUP(A12,Weather_clean_data!A:A,Weather_clean_data!B:B,0)</f>
        <v>19</v>
      </c>
      <c r="D12">
        <f>_xlfn.XLOOKUP(A12, Weather_clean_data!A:A, Weather_clean_data!C:C, 0)</f>
        <v>0.4</v>
      </c>
      <c r="E12">
        <f t="shared" si="1"/>
        <v>60</v>
      </c>
      <c r="F12">
        <f t="shared" si="2"/>
        <v>60</v>
      </c>
      <c r="G12">
        <f t="shared" si="3"/>
        <v>0</v>
      </c>
      <c r="H12" s="7">
        <f t="shared" si="4"/>
        <v>0</v>
      </c>
      <c r="I12">
        <f t="shared" si="5"/>
        <v>40</v>
      </c>
      <c r="J12">
        <f t="shared" si="6"/>
        <v>40</v>
      </c>
      <c r="K12">
        <f t="shared" si="7"/>
        <v>0</v>
      </c>
      <c r="L12" s="7">
        <f t="shared" si="8"/>
        <v>0</v>
      </c>
      <c r="M12" t="s">
        <v>17</v>
      </c>
      <c r="N12">
        <v>2023</v>
      </c>
      <c r="O12" t="s">
        <v>26</v>
      </c>
    </row>
    <row r="13" spans="1:15">
      <c r="A13" s="5">
        <v>45058</v>
      </c>
      <c r="B13" s="6" t="str">
        <f t="shared" si="0"/>
        <v>NO</v>
      </c>
      <c r="C13">
        <f>_xlfn.XLOOKUP(A13,Weather_clean_data!A:A,Weather_clean_data!B:B,0)</f>
        <v>15</v>
      </c>
      <c r="D13">
        <f>_xlfn.XLOOKUP(A13, Weather_clean_data!A:A, Weather_clean_data!C:C, 0)</f>
        <v>0.1</v>
      </c>
      <c r="E13">
        <f t="shared" si="1"/>
        <v>60</v>
      </c>
      <c r="F13">
        <f t="shared" si="2"/>
        <v>60</v>
      </c>
      <c r="G13">
        <f t="shared" si="3"/>
        <v>0</v>
      </c>
      <c r="H13" s="7">
        <f t="shared" si="4"/>
        <v>0</v>
      </c>
      <c r="I13">
        <f t="shared" si="5"/>
        <v>40</v>
      </c>
      <c r="J13">
        <f t="shared" si="6"/>
        <v>40</v>
      </c>
      <c r="K13">
        <f t="shared" si="7"/>
        <v>0</v>
      </c>
      <c r="L13" s="7">
        <f t="shared" si="8"/>
        <v>0</v>
      </c>
      <c r="M13" t="s">
        <v>16</v>
      </c>
      <c r="N13">
        <v>2023</v>
      </c>
      <c r="O13" t="s">
        <v>26</v>
      </c>
    </row>
    <row r="14" spans="1:15">
      <c r="A14" s="5">
        <v>45059</v>
      </c>
      <c r="B14" s="6" t="str">
        <f t="shared" si="0"/>
        <v>YES</v>
      </c>
      <c r="C14">
        <f>_xlfn.XLOOKUP(A14,Weather_clean_data!A:A,Weather_clean_data!B:B,0)</f>
        <v>16</v>
      </c>
      <c r="D14">
        <f>_xlfn.XLOOKUP(A14, Weather_clean_data!A:A, Weather_clean_data!C:C, 0)</f>
        <v>0</v>
      </c>
      <c r="E14">
        <f t="shared" si="1"/>
        <v>150</v>
      </c>
      <c r="F14">
        <f t="shared" si="2"/>
        <v>150</v>
      </c>
      <c r="G14">
        <f t="shared" si="3"/>
        <v>0</v>
      </c>
      <c r="H14" s="7">
        <f t="shared" si="4"/>
        <v>0</v>
      </c>
      <c r="I14">
        <f t="shared" si="5"/>
        <v>100</v>
      </c>
      <c r="J14">
        <f t="shared" si="6"/>
        <v>100</v>
      </c>
      <c r="K14">
        <f t="shared" si="7"/>
        <v>0</v>
      </c>
      <c r="L14" s="7">
        <f t="shared" si="8"/>
        <v>0</v>
      </c>
      <c r="M14" t="s">
        <v>16</v>
      </c>
      <c r="N14">
        <v>2023</v>
      </c>
      <c r="O14" t="s">
        <v>26</v>
      </c>
    </row>
    <row r="15" spans="1:15">
      <c r="A15" s="5">
        <v>45060</v>
      </c>
      <c r="B15" s="6" t="str">
        <f t="shared" si="0"/>
        <v>YES</v>
      </c>
      <c r="C15">
        <f>_xlfn.XLOOKUP(A15,Weather_clean_data!A:A,Weather_clean_data!B:B,0)</f>
        <v>18.600000000000001</v>
      </c>
      <c r="D15">
        <f>_xlfn.XLOOKUP(A15, Weather_clean_data!A:A, Weather_clean_data!C:C, 0)</f>
        <v>0.7</v>
      </c>
      <c r="E15">
        <f t="shared" si="1"/>
        <v>150</v>
      </c>
      <c r="F15">
        <f t="shared" si="2"/>
        <v>150</v>
      </c>
      <c r="G15">
        <f t="shared" si="3"/>
        <v>0</v>
      </c>
      <c r="H15" s="7">
        <f t="shared" si="4"/>
        <v>0</v>
      </c>
      <c r="I15">
        <f t="shared" si="5"/>
        <v>100</v>
      </c>
      <c r="J15">
        <f t="shared" si="6"/>
        <v>100</v>
      </c>
      <c r="K15">
        <f t="shared" si="7"/>
        <v>0</v>
      </c>
      <c r="L15" s="7">
        <f t="shared" si="8"/>
        <v>0</v>
      </c>
      <c r="M15" t="s">
        <v>16</v>
      </c>
      <c r="N15">
        <v>2023</v>
      </c>
      <c r="O15" t="s">
        <v>26</v>
      </c>
    </row>
    <row r="16" spans="1:15">
      <c r="A16" s="5">
        <v>45061</v>
      </c>
      <c r="B16" s="6" t="str">
        <f t="shared" si="0"/>
        <v>NO</v>
      </c>
      <c r="C16">
        <f>_xlfn.XLOOKUP(A16,Weather_clean_data!A:A,Weather_clean_data!B:B,0)</f>
        <v>16</v>
      </c>
      <c r="D16">
        <f>_xlfn.XLOOKUP(A16, Weather_clean_data!A:A, Weather_clean_data!C:C, 0)</f>
        <v>0</v>
      </c>
      <c r="E16">
        <f t="shared" si="1"/>
        <v>60</v>
      </c>
      <c r="F16">
        <f t="shared" si="2"/>
        <v>60</v>
      </c>
      <c r="G16">
        <f t="shared" si="3"/>
        <v>0</v>
      </c>
      <c r="H16" s="7">
        <f t="shared" si="4"/>
        <v>0</v>
      </c>
      <c r="I16">
        <f t="shared" si="5"/>
        <v>40</v>
      </c>
      <c r="J16">
        <f t="shared" si="6"/>
        <v>40</v>
      </c>
      <c r="K16">
        <f t="shared" si="7"/>
        <v>0</v>
      </c>
      <c r="L16" s="7">
        <f t="shared" si="8"/>
        <v>0</v>
      </c>
      <c r="M16" t="s">
        <v>17</v>
      </c>
      <c r="N16">
        <v>2023</v>
      </c>
      <c r="O16" t="s">
        <v>26</v>
      </c>
    </row>
    <row r="17" spans="1:15">
      <c r="A17" s="5">
        <v>45062</v>
      </c>
      <c r="B17" s="6" t="str">
        <f t="shared" si="0"/>
        <v>NO</v>
      </c>
      <c r="C17">
        <f>_xlfn.XLOOKUP(A17,Weather_clean_data!A:A,Weather_clean_data!B:B,0)</f>
        <v>17</v>
      </c>
      <c r="D17">
        <f>_xlfn.XLOOKUP(A17, Weather_clean_data!A:A, Weather_clean_data!C:C, 0)</f>
        <v>0</v>
      </c>
      <c r="E17">
        <f t="shared" si="1"/>
        <v>60</v>
      </c>
      <c r="F17">
        <f t="shared" si="2"/>
        <v>60</v>
      </c>
      <c r="G17">
        <f t="shared" si="3"/>
        <v>0</v>
      </c>
      <c r="H17" s="7">
        <f t="shared" si="4"/>
        <v>0</v>
      </c>
      <c r="I17">
        <f t="shared" si="5"/>
        <v>40</v>
      </c>
      <c r="J17">
        <f t="shared" si="6"/>
        <v>40</v>
      </c>
      <c r="K17">
        <f t="shared" si="7"/>
        <v>0</v>
      </c>
      <c r="L17" s="7">
        <f t="shared" si="8"/>
        <v>0</v>
      </c>
      <c r="M17" t="s">
        <v>17</v>
      </c>
      <c r="N17">
        <v>2023</v>
      </c>
      <c r="O17" t="s">
        <v>26</v>
      </c>
    </row>
    <row r="18" spans="1:15">
      <c r="A18" s="5">
        <v>45063</v>
      </c>
      <c r="B18" s="6" t="str">
        <f t="shared" si="0"/>
        <v>NO</v>
      </c>
      <c r="C18">
        <f>_xlfn.XLOOKUP(A18,Weather_clean_data!A:A,Weather_clean_data!B:B,0)</f>
        <v>18</v>
      </c>
      <c r="D18">
        <f>_xlfn.XLOOKUP(A18, Weather_clean_data!A:A, Weather_clean_data!C:C, 0)</f>
        <v>0</v>
      </c>
      <c r="E18">
        <f t="shared" si="1"/>
        <v>60</v>
      </c>
      <c r="F18">
        <f t="shared" si="2"/>
        <v>60</v>
      </c>
      <c r="G18">
        <f t="shared" si="3"/>
        <v>0</v>
      </c>
      <c r="H18" s="7">
        <f t="shared" si="4"/>
        <v>0</v>
      </c>
      <c r="I18">
        <f t="shared" si="5"/>
        <v>40</v>
      </c>
      <c r="J18">
        <f t="shared" si="6"/>
        <v>40</v>
      </c>
      <c r="K18">
        <f t="shared" si="7"/>
        <v>0</v>
      </c>
      <c r="L18" s="7">
        <f t="shared" si="8"/>
        <v>0</v>
      </c>
      <c r="M18" t="s">
        <v>17</v>
      </c>
      <c r="N18">
        <v>2023</v>
      </c>
      <c r="O18" t="s">
        <v>26</v>
      </c>
    </row>
    <row r="19" spans="1:15">
      <c r="A19" s="5">
        <v>45064</v>
      </c>
      <c r="B19" s="6" t="str">
        <f t="shared" si="0"/>
        <v>NO</v>
      </c>
      <c r="C19">
        <f>_xlfn.XLOOKUP(A19,Weather_clean_data!A:A,Weather_clean_data!B:B,0)</f>
        <v>21</v>
      </c>
      <c r="D19">
        <f>_xlfn.XLOOKUP(A19, Weather_clean_data!A:A, Weather_clean_data!C:C, 0)</f>
        <v>0</v>
      </c>
      <c r="E19">
        <f t="shared" si="1"/>
        <v>60</v>
      </c>
      <c r="F19">
        <f t="shared" si="2"/>
        <v>60</v>
      </c>
      <c r="G19">
        <f t="shared" si="3"/>
        <v>0</v>
      </c>
      <c r="H19" s="7">
        <f t="shared" si="4"/>
        <v>0</v>
      </c>
      <c r="I19">
        <f t="shared" si="5"/>
        <v>40</v>
      </c>
      <c r="J19">
        <f t="shared" si="6"/>
        <v>40</v>
      </c>
      <c r="K19">
        <f t="shared" si="7"/>
        <v>0</v>
      </c>
      <c r="L19" s="7">
        <f t="shared" si="8"/>
        <v>0</v>
      </c>
      <c r="M19" t="s">
        <v>17</v>
      </c>
      <c r="N19">
        <v>2023</v>
      </c>
      <c r="O19" t="s">
        <v>26</v>
      </c>
    </row>
    <row r="20" spans="1:15">
      <c r="A20" s="5">
        <v>45065</v>
      </c>
      <c r="B20" s="6" t="str">
        <f t="shared" si="0"/>
        <v>NO</v>
      </c>
      <c r="C20">
        <f>_xlfn.XLOOKUP(A20,Weather_clean_data!A:A,Weather_clean_data!B:B,0)</f>
        <v>19</v>
      </c>
      <c r="D20">
        <f>_xlfn.XLOOKUP(A20, Weather_clean_data!A:A, Weather_clean_data!C:C, 0)</f>
        <v>2.2999999999999998</v>
      </c>
      <c r="E20">
        <f t="shared" si="1"/>
        <v>60</v>
      </c>
      <c r="F20">
        <f t="shared" si="2"/>
        <v>60</v>
      </c>
      <c r="G20">
        <f t="shared" si="3"/>
        <v>0</v>
      </c>
      <c r="H20" s="7">
        <f t="shared" si="4"/>
        <v>0</v>
      </c>
      <c r="I20">
        <f t="shared" si="5"/>
        <v>40</v>
      </c>
      <c r="J20">
        <f t="shared" si="6"/>
        <v>40</v>
      </c>
      <c r="K20">
        <f t="shared" si="7"/>
        <v>0</v>
      </c>
      <c r="L20" s="7">
        <f t="shared" si="8"/>
        <v>0</v>
      </c>
      <c r="M20" t="s">
        <v>16</v>
      </c>
      <c r="N20">
        <v>2023</v>
      </c>
      <c r="O20" t="s">
        <v>26</v>
      </c>
    </row>
    <row r="21" spans="1:15">
      <c r="A21" s="5">
        <v>45066</v>
      </c>
      <c r="B21" s="6" t="str">
        <f t="shared" si="0"/>
        <v>YES</v>
      </c>
      <c r="C21">
        <f>_xlfn.XLOOKUP(A21,Weather_clean_data!A:A,Weather_clean_data!B:B,0)</f>
        <v>19</v>
      </c>
      <c r="D21">
        <f>_xlfn.XLOOKUP(A21, Weather_clean_data!A:A, Weather_clean_data!C:C, 0)</f>
        <v>0</v>
      </c>
      <c r="E21">
        <f t="shared" si="1"/>
        <v>150</v>
      </c>
      <c r="F21">
        <f t="shared" si="2"/>
        <v>150</v>
      </c>
      <c r="G21">
        <f t="shared" si="3"/>
        <v>0</v>
      </c>
      <c r="H21" s="7">
        <f t="shared" si="4"/>
        <v>0</v>
      </c>
      <c r="I21">
        <f t="shared" si="5"/>
        <v>100</v>
      </c>
      <c r="J21">
        <f t="shared" si="6"/>
        <v>100</v>
      </c>
      <c r="K21">
        <f t="shared" si="7"/>
        <v>0</v>
      </c>
      <c r="L21" s="7">
        <f t="shared" si="8"/>
        <v>0</v>
      </c>
      <c r="M21" t="s">
        <v>16</v>
      </c>
      <c r="N21">
        <v>2023</v>
      </c>
      <c r="O21" t="s">
        <v>26</v>
      </c>
    </row>
    <row r="22" spans="1:15">
      <c r="A22" s="5">
        <v>45067</v>
      </c>
      <c r="B22" s="6" t="str">
        <f t="shared" si="0"/>
        <v>YES</v>
      </c>
      <c r="C22">
        <f>_xlfn.XLOOKUP(A22,Weather_clean_data!A:A,Weather_clean_data!B:B,0)</f>
        <v>20</v>
      </c>
      <c r="D22">
        <f>_xlfn.XLOOKUP(A22, Weather_clean_data!A:A, Weather_clean_data!C:C, 0)</f>
        <v>0</v>
      </c>
      <c r="E22">
        <f t="shared" si="1"/>
        <v>150</v>
      </c>
      <c r="F22">
        <f t="shared" si="2"/>
        <v>150</v>
      </c>
      <c r="G22">
        <f t="shared" si="3"/>
        <v>0</v>
      </c>
      <c r="H22" s="7">
        <f t="shared" si="4"/>
        <v>0</v>
      </c>
      <c r="I22">
        <f t="shared" si="5"/>
        <v>100</v>
      </c>
      <c r="J22">
        <f t="shared" si="6"/>
        <v>100</v>
      </c>
      <c r="K22">
        <f t="shared" si="7"/>
        <v>0</v>
      </c>
      <c r="L22" s="7">
        <f t="shared" si="8"/>
        <v>0</v>
      </c>
      <c r="M22" t="s">
        <v>16</v>
      </c>
      <c r="N22">
        <v>2023</v>
      </c>
      <c r="O22" t="s">
        <v>26</v>
      </c>
    </row>
    <row r="23" spans="1:15">
      <c r="A23" s="5">
        <v>45068</v>
      </c>
      <c r="B23" s="6" t="str">
        <f t="shared" si="0"/>
        <v>NO</v>
      </c>
      <c r="C23">
        <f>_xlfn.XLOOKUP(A23,Weather_clean_data!A:A,Weather_clean_data!B:B,0)</f>
        <v>21</v>
      </c>
      <c r="D23">
        <f>_xlfn.XLOOKUP(A23, Weather_clean_data!A:A, Weather_clean_data!C:C, 0)</f>
        <v>0</v>
      </c>
      <c r="E23">
        <f t="shared" si="1"/>
        <v>60</v>
      </c>
      <c r="F23">
        <f t="shared" si="2"/>
        <v>60</v>
      </c>
      <c r="G23">
        <f t="shared" si="3"/>
        <v>0</v>
      </c>
      <c r="H23" s="7">
        <f t="shared" si="4"/>
        <v>0</v>
      </c>
      <c r="I23">
        <f t="shared" si="5"/>
        <v>40</v>
      </c>
      <c r="J23">
        <f t="shared" si="6"/>
        <v>40</v>
      </c>
      <c r="K23">
        <f t="shared" si="7"/>
        <v>0</v>
      </c>
      <c r="L23" s="7">
        <f t="shared" si="8"/>
        <v>0</v>
      </c>
      <c r="M23" t="s">
        <v>17</v>
      </c>
      <c r="N23">
        <v>2023</v>
      </c>
      <c r="O23" t="s">
        <v>26</v>
      </c>
    </row>
    <row r="24" spans="1:15">
      <c r="A24" s="5">
        <v>45069</v>
      </c>
      <c r="B24" s="6" t="str">
        <f t="shared" si="0"/>
        <v>NO</v>
      </c>
      <c r="C24">
        <f>_xlfn.XLOOKUP(A24,Weather_clean_data!A:A,Weather_clean_data!B:B,0)</f>
        <v>19</v>
      </c>
      <c r="D24">
        <f>_xlfn.XLOOKUP(A24, Weather_clean_data!A:A, Weather_clean_data!C:C, 0)</f>
        <v>0</v>
      </c>
      <c r="E24">
        <f t="shared" si="1"/>
        <v>60</v>
      </c>
      <c r="F24">
        <f t="shared" si="2"/>
        <v>60</v>
      </c>
      <c r="G24">
        <f t="shared" si="3"/>
        <v>0</v>
      </c>
      <c r="H24" s="7">
        <f t="shared" si="4"/>
        <v>0</v>
      </c>
      <c r="I24">
        <f t="shared" si="5"/>
        <v>40</v>
      </c>
      <c r="J24">
        <f t="shared" si="6"/>
        <v>40</v>
      </c>
      <c r="K24">
        <f t="shared" si="7"/>
        <v>0</v>
      </c>
      <c r="L24" s="7">
        <f t="shared" si="8"/>
        <v>0</v>
      </c>
      <c r="M24" t="s">
        <v>17</v>
      </c>
      <c r="N24">
        <v>2023</v>
      </c>
      <c r="O24" t="s">
        <v>26</v>
      </c>
    </row>
    <row r="25" spans="1:15">
      <c r="A25" s="5">
        <v>45070</v>
      </c>
      <c r="B25" s="6" t="str">
        <f t="shared" si="0"/>
        <v>NO</v>
      </c>
      <c r="C25">
        <f>_xlfn.XLOOKUP(A25,Weather_clean_data!A:A,Weather_clean_data!B:B,0)</f>
        <v>21</v>
      </c>
      <c r="D25">
        <f>_xlfn.XLOOKUP(A25, Weather_clean_data!A:A, Weather_clean_data!C:C, 0)</f>
        <v>0</v>
      </c>
      <c r="E25">
        <f t="shared" si="1"/>
        <v>60</v>
      </c>
      <c r="F25">
        <f t="shared" si="2"/>
        <v>60</v>
      </c>
      <c r="G25">
        <f t="shared" si="3"/>
        <v>0</v>
      </c>
      <c r="H25" s="7">
        <f t="shared" si="4"/>
        <v>0</v>
      </c>
      <c r="I25">
        <f t="shared" si="5"/>
        <v>40</v>
      </c>
      <c r="J25">
        <f t="shared" si="6"/>
        <v>40</v>
      </c>
      <c r="K25">
        <f t="shared" si="7"/>
        <v>0</v>
      </c>
      <c r="L25" s="7">
        <f t="shared" si="8"/>
        <v>0</v>
      </c>
      <c r="M25" t="s">
        <v>17</v>
      </c>
      <c r="N25">
        <v>2023</v>
      </c>
      <c r="O25" t="s">
        <v>26</v>
      </c>
    </row>
    <row r="26" spans="1:15">
      <c r="A26" s="5">
        <v>45071</v>
      </c>
      <c r="B26" s="6" t="str">
        <f t="shared" si="0"/>
        <v>NO</v>
      </c>
      <c r="C26">
        <f>_xlfn.XLOOKUP(A26,Weather_clean_data!A:A,Weather_clean_data!B:B,0)</f>
        <v>21</v>
      </c>
      <c r="D26">
        <f>_xlfn.XLOOKUP(A26, Weather_clean_data!A:A, Weather_clean_data!C:C, 0)</f>
        <v>0</v>
      </c>
      <c r="E26">
        <f t="shared" si="1"/>
        <v>60</v>
      </c>
      <c r="F26">
        <f t="shared" si="2"/>
        <v>60</v>
      </c>
      <c r="G26">
        <f t="shared" si="3"/>
        <v>0</v>
      </c>
      <c r="H26" s="7">
        <f t="shared" si="4"/>
        <v>0</v>
      </c>
      <c r="I26">
        <f t="shared" si="5"/>
        <v>40</v>
      </c>
      <c r="J26">
        <f t="shared" si="6"/>
        <v>40</v>
      </c>
      <c r="K26">
        <f t="shared" si="7"/>
        <v>0</v>
      </c>
      <c r="L26" s="7">
        <f t="shared" si="8"/>
        <v>0</v>
      </c>
      <c r="M26" t="s">
        <v>17</v>
      </c>
      <c r="N26">
        <v>2023</v>
      </c>
      <c r="O26" t="s">
        <v>26</v>
      </c>
    </row>
    <row r="27" spans="1:15">
      <c r="A27" s="5">
        <v>45072</v>
      </c>
      <c r="B27" s="6" t="str">
        <f t="shared" si="0"/>
        <v>NO</v>
      </c>
      <c r="C27">
        <f>_xlfn.XLOOKUP(A27,Weather_clean_data!A:A,Weather_clean_data!B:B,0)</f>
        <v>20</v>
      </c>
      <c r="D27">
        <f>_xlfn.XLOOKUP(A27, Weather_clean_data!A:A, Weather_clean_data!C:C, 0)</f>
        <v>0</v>
      </c>
      <c r="E27">
        <f t="shared" si="1"/>
        <v>60</v>
      </c>
      <c r="F27">
        <f t="shared" si="2"/>
        <v>60</v>
      </c>
      <c r="G27">
        <f t="shared" si="3"/>
        <v>0</v>
      </c>
      <c r="H27" s="7">
        <f t="shared" si="4"/>
        <v>0</v>
      </c>
      <c r="I27">
        <f t="shared" si="5"/>
        <v>40</v>
      </c>
      <c r="J27">
        <f t="shared" si="6"/>
        <v>40</v>
      </c>
      <c r="K27">
        <f t="shared" si="7"/>
        <v>0</v>
      </c>
      <c r="L27" s="7">
        <f t="shared" si="8"/>
        <v>0</v>
      </c>
      <c r="M27" t="s">
        <v>16</v>
      </c>
      <c r="N27">
        <v>2023</v>
      </c>
      <c r="O27" t="s">
        <v>26</v>
      </c>
    </row>
    <row r="28" spans="1:15">
      <c r="A28" s="5">
        <v>45073</v>
      </c>
      <c r="B28" s="6" t="str">
        <f t="shared" si="0"/>
        <v>YES</v>
      </c>
      <c r="C28">
        <f>_xlfn.XLOOKUP(A28,Weather_clean_data!A:A,Weather_clean_data!B:B,0)</f>
        <v>21</v>
      </c>
      <c r="D28">
        <f>_xlfn.XLOOKUP(A28, Weather_clean_data!A:A, Weather_clean_data!C:C, 0)</f>
        <v>0</v>
      </c>
      <c r="E28">
        <f t="shared" si="1"/>
        <v>150</v>
      </c>
      <c r="F28">
        <f t="shared" si="2"/>
        <v>150</v>
      </c>
      <c r="G28">
        <f t="shared" si="3"/>
        <v>0</v>
      </c>
      <c r="H28" s="7">
        <f t="shared" si="4"/>
        <v>0</v>
      </c>
      <c r="I28">
        <f t="shared" si="5"/>
        <v>100</v>
      </c>
      <c r="J28">
        <f t="shared" si="6"/>
        <v>100</v>
      </c>
      <c r="K28">
        <f t="shared" si="7"/>
        <v>0</v>
      </c>
      <c r="L28" s="7">
        <f t="shared" si="8"/>
        <v>0</v>
      </c>
      <c r="M28" t="s">
        <v>16</v>
      </c>
      <c r="N28">
        <v>2023</v>
      </c>
      <c r="O28" t="s">
        <v>26</v>
      </c>
    </row>
    <row r="29" spans="1:15">
      <c r="A29" s="5">
        <v>45074</v>
      </c>
      <c r="B29" s="6" t="str">
        <f t="shared" si="0"/>
        <v>YES</v>
      </c>
      <c r="C29">
        <f>_xlfn.XLOOKUP(A29,Weather_clean_data!A:A,Weather_clean_data!B:B,0)</f>
        <v>22</v>
      </c>
      <c r="D29">
        <f>_xlfn.XLOOKUP(A29, Weather_clean_data!A:A, Weather_clean_data!C:C, 0)</f>
        <v>0</v>
      </c>
      <c r="E29">
        <f t="shared" si="1"/>
        <v>150</v>
      </c>
      <c r="F29">
        <f t="shared" si="2"/>
        <v>150</v>
      </c>
      <c r="G29">
        <f t="shared" si="3"/>
        <v>0</v>
      </c>
      <c r="H29" s="7">
        <f t="shared" si="4"/>
        <v>0</v>
      </c>
      <c r="I29">
        <f t="shared" si="5"/>
        <v>100</v>
      </c>
      <c r="J29">
        <f t="shared" si="6"/>
        <v>100</v>
      </c>
      <c r="K29">
        <f t="shared" si="7"/>
        <v>0</v>
      </c>
      <c r="L29" s="7">
        <f t="shared" si="8"/>
        <v>0</v>
      </c>
      <c r="M29" t="s">
        <v>16</v>
      </c>
      <c r="N29">
        <v>2023</v>
      </c>
      <c r="O29" t="s">
        <v>26</v>
      </c>
    </row>
    <row r="30" spans="1:15">
      <c r="A30" s="5">
        <v>45075</v>
      </c>
      <c r="B30" s="6" t="s">
        <v>12</v>
      </c>
      <c r="C30">
        <f>_xlfn.XLOOKUP(A30,Weather_clean_data!A:A,Weather_clean_data!B:B,0)</f>
        <v>18</v>
      </c>
      <c r="D30">
        <f>_xlfn.XLOOKUP(A30, Weather_clean_data!A:A, Weather_clean_data!C:C, 0)</f>
        <v>0</v>
      </c>
      <c r="E30">
        <f t="shared" si="1"/>
        <v>150</v>
      </c>
      <c r="F30">
        <f t="shared" si="2"/>
        <v>150</v>
      </c>
      <c r="G30">
        <f t="shared" si="3"/>
        <v>0</v>
      </c>
      <c r="H30" s="7">
        <f t="shared" si="4"/>
        <v>0</v>
      </c>
      <c r="I30">
        <f t="shared" si="5"/>
        <v>100</v>
      </c>
      <c r="J30">
        <f t="shared" si="6"/>
        <v>100</v>
      </c>
      <c r="K30">
        <f t="shared" si="7"/>
        <v>0</v>
      </c>
      <c r="L30" s="7">
        <f t="shared" si="8"/>
        <v>0</v>
      </c>
      <c r="M30" t="s">
        <v>16</v>
      </c>
      <c r="N30">
        <v>2023</v>
      </c>
      <c r="O30" t="s">
        <v>26</v>
      </c>
    </row>
    <row r="31" spans="1:15">
      <c r="A31" s="5">
        <v>45076</v>
      </c>
      <c r="B31" s="6" t="str">
        <f t="shared" si="0"/>
        <v>NO</v>
      </c>
      <c r="C31">
        <f>_xlfn.XLOOKUP(A31,Weather_clean_data!A:A,Weather_clean_data!B:B,0)</f>
        <v>18</v>
      </c>
      <c r="D31">
        <f>_xlfn.XLOOKUP(A31, Weather_clean_data!A:A, Weather_clean_data!C:C, 0)</f>
        <v>0</v>
      </c>
      <c r="E31">
        <f t="shared" si="1"/>
        <v>60</v>
      </c>
      <c r="F31">
        <f t="shared" si="2"/>
        <v>60</v>
      </c>
      <c r="G31">
        <f t="shared" si="3"/>
        <v>0</v>
      </c>
      <c r="H31" s="7">
        <f t="shared" si="4"/>
        <v>0</v>
      </c>
      <c r="I31">
        <f t="shared" si="5"/>
        <v>40</v>
      </c>
      <c r="J31">
        <f t="shared" si="6"/>
        <v>40</v>
      </c>
      <c r="K31">
        <f t="shared" si="7"/>
        <v>0</v>
      </c>
      <c r="L31" s="7">
        <f t="shared" si="8"/>
        <v>0</v>
      </c>
      <c r="M31" t="s">
        <v>17</v>
      </c>
      <c r="N31">
        <v>2023</v>
      </c>
      <c r="O31" t="s">
        <v>26</v>
      </c>
    </row>
    <row r="32" spans="1:15">
      <c r="A32" s="5">
        <v>45077</v>
      </c>
      <c r="B32" s="6" t="str">
        <f t="shared" si="0"/>
        <v>NO</v>
      </c>
      <c r="C32">
        <f>_xlfn.XLOOKUP(A32,Weather_clean_data!A:A,Weather_clean_data!B:B,0)</f>
        <v>15.2</v>
      </c>
      <c r="D32">
        <f>_xlfn.XLOOKUP(A32, Weather_clean_data!A:A, Weather_clean_data!C:C, 0)</f>
        <v>0</v>
      </c>
      <c r="E32">
        <f t="shared" si="1"/>
        <v>60</v>
      </c>
      <c r="F32">
        <f t="shared" si="2"/>
        <v>60</v>
      </c>
      <c r="G32">
        <f t="shared" si="3"/>
        <v>0</v>
      </c>
      <c r="H32" s="7">
        <f t="shared" si="4"/>
        <v>0</v>
      </c>
      <c r="I32">
        <f t="shared" si="5"/>
        <v>40</v>
      </c>
      <c r="J32">
        <f t="shared" si="6"/>
        <v>40</v>
      </c>
      <c r="K32">
        <f t="shared" si="7"/>
        <v>0</v>
      </c>
      <c r="L32" s="7">
        <f t="shared" si="8"/>
        <v>0</v>
      </c>
      <c r="M32" t="s">
        <v>17</v>
      </c>
      <c r="N32">
        <v>2023</v>
      </c>
      <c r="O32" t="s">
        <v>26</v>
      </c>
    </row>
    <row r="33" spans="1:15">
      <c r="A33" s="5">
        <v>45078</v>
      </c>
      <c r="B33" s="6" t="str">
        <f t="shared" si="0"/>
        <v>NO</v>
      </c>
      <c r="C33">
        <f>_xlfn.XLOOKUP(A33,Weather_clean_data!A:A,Weather_clean_data!B:B,0)</f>
        <v>18</v>
      </c>
      <c r="D33">
        <f>_xlfn.XLOOKUP(A33, Weather_clean_data!A:A, Weather_clean_data!C:C, 0)</f>
        <v>0</v>
      </c>
      <c r="E33">
        <f t="shared" si="1"/>
        <v>60</v>
      </c>
      <c r="F33">
        <f t="shared" si="2"/>
        <v>60</v>
      </c>
      <c r="G33">
        <f t="shared" si="3"/>
        <v>0</v>
      </c>
      <c r="H33" s="7">
        <f t="shared" si="4"/>
        <v>0</v>
      </c>
      <c r="I33">
        <f t="shared" si="5"/>
        <v>40</v>
      </c>
      <c r="J33">
        <f t="shared" si="6"/>
        <v>40</v>
      </c>
      <c r="K33">
        <f t="shared" si="7"/>
        <v>0</v>
      </c>
      <c r="L33" s="7">
        <f t="shared" si="8"/>
        <v>0</v>
      </c>
      <c r="M33" t="s">
        <v>17</v>
      </c>
      <c r="N33">
        <v>2023</v>
      </c>
      <c r="O33" t="s">
        <v>27</v>
      </c>
    </row>
    <row r="34" spans="1:15">
      <c r="A34" s="5">
        <v>45079</v>
      </c>
      <c r="B34" s="6" t="str">
        <f t="shared" si="0"/>
        <v>NO</v>
      </c>
      <c r="C34">
        <f>_xlfn.XLOOKUP(A34,Weather_clean_data!A:A,Weather_clean_data!B:B,0)</f>
        <v>19</v>
      </c>
      <c r="D34">
        <f>_xlfn.XLOOKUP(A34, Weather_clean_data!A:A, Weather_clean_data!C:C, 0)</f>
        <v>0</v>
      </c>
      <c r="E34">
        <f t="shared" si="1"/>
        <v>60</v>
      </c>
      <c r="F34">
        <f t="shared" si="2"/>
        <v>60</v>
      </c>
      <c r="G34">
        <f t="shared" si="3"/>
        <v>0</v>
      </c>
      <c r="H34" s="7">
        <f t="shared" si="4"/>
        <v>0</v>
      </c>
      <c r="I34">
        <f t="shared" si="5"/>
        <v>40</v>
      </c>
      <c r="J34">
        <f t="shared" si="6"/>
        <v>40</v>
      </c>
      <c r="K34">
        <f t="shared" si="7"/>
        <v>0</v>
      </c>
      <c r="L34" s="7">
        <f t="shared" si="8"/>
        <v>0</v>
      </c>
      <c r="M34" t="s">
        <v>16</v>
      </c>
      <c r="N34">
        <v>2023</v>
      </c>
      <c r="O34" t="s">
        <v>27</v>
      </c>
    </row>
    <row r="35" spans="1:15">
      <c r="A35" s="5">
        <v>45080</v>
      </c>
      <c r="B35" s="6" t="str">
        <f t="shared" si="0"/>
        <v>YES</v>
      </c>
      <c r="C35">
        <f>_xlfn.XLOOKUP(A35,Weather_clean_data!A:A,Weather_clean_data!B:B,0)</f>
        <v>22</v>
      </c>
      <c r="D35">
        <f>_xlfn.XLOOKUP(A35, Weather_clean_data!A:A, Weather_clean_data!C:C, 0)</f>
        <v>0</v>
      </c>
      <c r="E35">
        <f t="shared" si="1"/>
        <v>150</v>
      </c>
      <c r="F35">
        <f t="shared" si="2"/>
        <v>150</v>
      </c>
      <c r="G35">
        <f t="shared" si="3"/>
        <v>0</v>
      </c>
      <c r="H35" s="7">
        <f t="shared" si="4"/>
        <v>0</v>
      </c>
      <c r="I35">
        <f t="shared" si="5"/>
        <v>100</v>
      </c>
      <c r="J35">
        <f t="shared" si="6"/>
        <v>100</v>
      </c>
      <c r="K35">
        <f t="shared" si="7"/>
        <v>0</v>
      </c>
      <c r="L35" s="7">
        <f t="shared" si="8"/>
        <v>0</v>
      </c>
      <c r="M35" t="s">
        <v>16</v>
      </c>
      <c r="N35">
        <v>2023</v>
      </c>
      <c r="O35" t="s">
        <v>27</v>
      </c>
    </row>
    <row r="36" spans="1:15">
      <c r="A36" s="5">
        <v>45081</v>
      </c>
      <c r="B36" s="6" t="str">
        <f t="shared" si="0"/>
        <v>YES</v>
      </c>
      <c r="C36">
        <f>_xlfn.XLOOKUP(A36,Weather_clean_data!A:A,Weather_clean_data!B:B,0)</f>
        <v>21</v>
      </c>
      <c r="D36">
        <f>_xlfn.XLOOKUP(A36, Weather_clean_data!A:A, Weather_clean_data!C:C, 0)</f>
        <v>0</v>
      </c>
      <c r="E36">
        <f t="shared" si="1"/>
        <v>150</v>
      </c>
      <c r="F36">
        <f t="shared" si="2"/>
        <v>150</v>
      </c>
      <c r="G36">
        <f t="shared" si="3"/>
        <v>0</v>
      </c>
      <c r="H36" s="7">
        <f t="shared" si="4"/>
        <v>0</v>
      </c>
      <c r="I36">
        <f t="shared" si="5"/>
        <v>100</v>
      </c>
      <c r="J36">
        <f t="shared" si="6"/>
        <v>100</v>
      </c>
      <c r="K36">
        <f t="shared" si="7"/>
        <v>0</v>
      </c>
      <c r="L36" s="7">
        <f t="shared" si="8"/>
        <v>0</v>
      </c>
      <c r="M36" t="s">
        <v>16</v>
      </c>
      <c r="N36">
        <v>2023</v>
      </c>
      <c r="O36" t="s">
        <v>27</v>
      </c>
    </row>
    <row r="37" spans="1:15">
      <c r="A37" s="5">
        <v>45082</v>
      </c>
      <c r="B37" s="6" t="str">
        <f t="shared" si="0"/>
        <v>NO</v>
      </c>
      <c r="C37">
        <f>_xlfn.XLOOKUP(A37,Weather_clean_data!A:A,Weather_clean_data!B:B,0)</f>
        <v>18</v>
      </c>
      <c r="D37">
        <f>_xlfn.XLOOKUP(A37, Weather_clean_data!A:A, Weather_clean_data!C:C, 0)</f>
        <v>0</v>
      </c>
      <c r="E37">
        <f t="shared" si="1"/>
        <v>60</v>
      </c>
      <c r="F37">
        <f t="shared" si="2"/>
        <v>60</v>
      </c>
      <c r="G37">
        <f t="shared" si="3"/>
        <v>0</v>
      </c>
      <c r="H37" s="7">
        <f t="shared" si="4"/>
        <v>0</v>
      </c>
      <c r="I37">
        <f t="shared" si="5"/>
        <v>40</v>
      </c>
      <c r="J37">
        <f t="shared" si="6"/>
        <v>40</v>
      </c>
      <c r="K37">
        <f t="shared" si="7"/>
        <v>0</v>
      </c>
      <c r="L37" s="7">
        <f t="shared" si="8"/>
        <v>0</v>
      </c>
      <c r="M37" t="s">
        <v>17</v>
      </c>
      <c r="N37">
        <v>2023</v>
      </c>
      <c r="O37" t="s">
        <v>27</v>
      </c>
    </row>
    <row r="38" spans="1:15">
      <c r="A38" s="5">
        <v>45083</v>
      </c>
      <c r="B38" s="6" t="str">
        <f t="shared" si="0"/>
        <v>NO</v>
      </c>
      <c r="C38">
        <f>_xlfn.XLOOKUP(A38,Weather_clean_data!A:A,Weather_clean_data!B:B,0)</f>
        <v>16</v>
      </c>
      <c r="D38">
        <f>_xlfn.XLOOKUP(A38, Weather_clean_data!A:A, Weather_clean_data!C:C, 0)</f>
        <v>0</v>
      </c>
      <c r="E38">
        <f t="shared" si="1"/>
        <v>60</v>
      </c>
      <c r="F38">
        <f t="shared" si="2"/>
        <v>60</v>
      </c>
      <c r="G38">
        <f t="shared" si="3"/>
        <v>0</v>
      </c>
      <c r="H38" s="7">
        <f t="shared" si="4"/>
        <v>0</v>
      </c>
      <c r="I38">
        <f t="shared" si="5"/>
        <v>40</v>
      </c>
      <c r="J38">
        <f t="shared" si="6"/>
        <v>40</v>
      </c>
      <c r="K38">
        <f t="shared" si="7"/>
        <v>0</v>
      </c>
      <c r="L38" s="7">
        <f t="shared" si="8"/>
        <v>0</v>
      </c>
      <c r="M38" t="s">
        <v>17</v>
      </c>
      <c r="N38">
        <v>2023</v>
      </c>
      <c r="O38" t="s">
        <v>27</v>
      </c>
    </row>
    <row r="39" spans="1:15">
      <c r="A39" s="5">
        <v>45084</v>
      </c>
      <c r="B39" s="6" t="str">
        <f t="shared" si="0"/>
        <v>NO</v>
      </c>
      <c r="C39">
        <f>_xlfn.XLOOKUP(A39,Weather_clean_data!A:A,Weather_clean_data!B:B,0)</f>
        <v>21</v>
      </c>
      <c r="D39">
        <f>_xlfn.XLOOKUP(A39, Weather_clean_data!A:A, Weather_clean_data!C:C, 0)</f>
        <v>0</v>
      </c>
      <c r="E39">
        <f t="shared" si="1"/>
        <v>60</v>
      </c>
      <c r="F39">
        <f t="shared" si="2"/>
        <v>60</v>
      </c>
      <c r="G39">
        <f t="shared" si="3"/>
        <v>0</v>
      </c>
      <c r="H39" s="7">
        <f t="shared" si="4"/>
        <v>0</v>
      </c>
      <c r="I39">
        <f t="shared" si="5"/>
        <v>40</v>
      </c>
      <c r="J39">
        <f t="shared" si="6"/>
        <v>40</v>
      </c>
      <c r="K39">
        <f t="shared" si="7"/>
        <v>0</v>
      </c>
      <c r="L39" s="7">
        <f t="shared" si="8"/>
        <v>0</v>
      </c>
      <c r="M39" t="s">
        <v>17</v>
      </c>
      <c r="N39">
        <v>2023</v>
      </c>
      <c r="O39" t="s">
        <v>27</v>
      </c>
    </row>
    <row r="40" spans="1:15">
      <c r="A40" s="5">
        <v>45085</v>
      </c>
      <c r="B40" s="6" t="str">
        <f t="shared" si="0"/>
        <v>NO</v>
      </c>
      <c r="C40">
        <f>_xlfn.XLOOKUP(A40,Weather_clean_data!A:A,Weather_clean_data!B:B,0)</f>
        <v>22</v>
      </c>
      <c r="D40">
        <f>_xlfn.XLOOKUP(A40, Weather_clean_data!A:A, Weather_clean_data!C:C, 0)</f>
        <v>0</v>
      </c>
      <c r="E40">
        <f t="shared" si="1"/>
        <v>60</v>
      </c>
      <c r="F40">
        <f t="shared" si="2"/>
        <v>60</v>
      </c>
      <c r="G40">
        <f t="shared" si="3"/>
        <v>0</v>
      </c>
      <c r="H40" s="7">
        <f t="shared" si="4"/>
        <v>0</v>
      </c>
      <c r="I40">
        <f t="shared" si="5"/>
        <v>40</v>
      </c>
      <c r="J40">
        <f t="shared" si="6"/>
        <v>40</v>
      </c>
      <c r="K40">
        <f t="shared" si="7"/>
        <v>0</v>
      </c>
      <c r="L40" s="7">
        <f t="shared" si="8"/>
        <v>0</v>
      </c>
      <c r="M40" t="s">
        <v>17</v>
      </c>
      <c r="N40">
        <v>2023</v>
      </c>
      <c r="O40" t="s">
        <v>27</v>
      </c>
    </row>
    <row r="41" spans="1:15">
      <c r="A41" s="5">
        <v>45086</v>
      </c>
      <c r="B41" s="6" t="str">
        <f t="shared" si="0"/>
        <v>NO</v>
      </c>
      <c r="C41">
        <f>_xlfn.XLOOKUP(A41,Weather_clean_data!A:A,Weather_clean_data!B:B,0)</f>
        <v>25</v>
      </c>
      <c r="D41">
        <f>_xlfn.XLOOKUP(A41, Weather_clean_data!A:A, Weather_clean_data!C:C, 0)</f>
        <v>0</v>
      </c>
      <c r="E41">
        <f t="shared" si="1"/>
        <v>60</v>
      </c>
      <c r="F41">
        <f t="shared" si="2"/>
        <v>60</v>
      </c>
      <c r="G41">
        <f t="shared" si="3"/>
        <v>0</v>
      </c>
      <c r="H41" s="7">
        <f t="shared" si="4"/>
        <v>0</v>
      </c>
      <c r="I41">
        <f t="shared" si="5"/>
        <v>40</v>
      </c>
      <c r="J41">
        <f t="shared" si="6"/>
        <v>40</v>
      </c>
      <c r="K41">
        <f t="shared" si="7"/>
        <v>0</v>
      </c>
      <c r="L41" s="7">
        <f t="shared" si="8"/>
        <v>0</v>
      </c>
      <c r="M41" t="s">
        <v>16</v>
      </c>
      <c r="N41">
        <v>2023</v>
      </c>
      <c r="O41" t="s">
        <v>27</v>
      </c>
    </row>
    <row r="42" spans="1:15">
      <c r="A42" s="5">
        <v>45087</v>
      </c>
      <c r="B42" s="6" t="str">
        <f t="shared" si="0"/>
        <v>YES</v>
      </c>
      <c r="C42">
        <f>_xlfn.XLOOKUP(A42,Weather_clean_data!A:A,Weather_clean_data!B:B,0)</f>
        <v>29</v>
      </c>
      <c r="D42">
        <f>_xlfn.XLOOKUP(A42, Weather_clean_data!A:A, Weather_clean_data!C:C, 0)</f>
        <v>0.8</v>
      </c>
      <c r="E42">
        <f t="shared" si="1"/>
        <v>150</v>
      </c>
      <c r="F42">
        <f t="shared" si="2"/>
        <v>150</v>
      </c>
      <c r="G42">
        <f t="shared" si="3"/>
        <v>0</v>
      </c>
      <c r="H42" s="7">
        <f t="shared" si="4"/>
        <v>0</v>
      </c>
      <c r="I42">
        <f t="shared" si="5"/>
        <v>100</v>
      </c>
      <c r="J42">
        <f t="shared" si="6"/>
        <v>100</v>
      </c>
      <c r="K42">
        <f t="shared" si="7"/>
        <v>0</v>
      </c>
      <c r="L42" s="7">
        <f t="shared" si="8"/>
        <v>0</v>
      </c>
      <c r="M42" t="s">
        <v>16</v>
      </c>
      <c r="N42">
        <v>2023</v>
      </c>
      <c r="O42" t="s">
        <v>27</v>
      </c>
    </row>
    <row r="43" spans="1:15">
      <c r="A43" s="5">
        <v>45088</v>
      </c>
      <c r="B43" s="6" t="str">
        <f t="shared" si="0"/>
        <v>YES</v>
      </c>
      <c r="C43">
        <f>_xlfn.XLOOKUP(A43,Weather_clean_data!A:A,Weather_clean_data!B:B,0)</f>
        <v>24</v>
      </c>
      <c r="D43">
        <f>_xlfn.XLOOKUP(A43, Weather_clean_data!A:A, Weather_clean_data!C:C, 0)</f>
        <v>12.2</v>
      </c>
      <c r="E43">
        <f t="shared" si="1"/>
        <v>150</v>
      </c>
      <c r="F43">
        <f t="shared" si="2"/>
        <v>36</v>
      </c>
      <c r="G43">
        <f t="shared" si="3"/>
        <v>114</v>
      </c>
      <c r="H43" s="7">
        <f t="shared" si="4"/>
        <v>820.80000000000007</v>
      </c>
      <c r="I43">
        <f t="shared" si="5"/>
        <v>100</v>
      </c>
      <c r="J43">
        <f t="shared" si="6"/>
        <v>24</v>
      </c>
      <c r="K43">
        <f t="shared" si="7"/>
        <v>76</v>
      </c>
      <c r="L43" s="7">
        <f t="shared" si="8"/>
        <v>304</v>
      </c>
      <c r="M43" t="s">
        <v>18</v>
      </c>
      <c r="N43">
        <v>2023</v>
      </c>
      <c r="O43" t="s">
        <v>27</v>
      </c>
    </row>
    <row r="44" spans="1:15">
      <c r="A44" s="5">
        <v>45089</v>
      </c>
      <c r="B44" s="6" t="str">
        <f t="shared" si="0"/>
        <v>NO</v>
      </c>
      <c r="C44">
        <f>_xlfn.XLOOKUP(A44,Weather_clean_data!A:A,Weather_clean_data!B:B,0)</f>
        <v>28</v>
      </c>
      <c r="D44">
        <f>_xlfn.XLOOKUP(A44, Weather_clean_data!A:A, Weather_clean_data!C:C, 0)</f>
        <v>12.5</v>
      </c>
      <c r="E44">
        <f t="shared" si="1"/>
        <v>60</v>
      </c>
      <c r="F44">
        <f t="shared" si="2"/>
        <v>18</v>
      </c>
      <c r="G44">
        <f t="shared" si="3"/>
        <v>42</v>
      </c>
      <c r="H44" s="7">
        <f t="shared" si="4"/>
        <v>302.40000000000003</v>
      </c>
      <c r="I44">
        <f t="shared" si="5"/>
        <v>40</v>
      </c>
      <c r="J44">
        <f t="shared" si="6"/>
        <v>12</v>
      </c>
      <c r="K44">
        <f t="shared" si="7"/>
        <v>28</v>
      </c>
      <c r="L44" s="7">
        <f t="shared" si="8"/>
        <v>112</v>
      </c>
      <c r="M44" t="s">
        <v>18</v>
      </c>
      <c r="N44">
        <v>2023</v>
      </c>
      <c r="O44" t="s">
        <v>27</v>
      </c>
    </row>
    <row r="45" spans="1:15">
      <c r="A45" s="5">
        <v>45090</v>
      </c>
      <c r="B45" s="6" t="str">
        <f t="shared" si="0"/>
        <v>NO</v>
      </c>
      <c r="C45">
        <f>_xlfn.XLOOKUP(A45,Weather_clean_data!A:A,Weather_clean_data!B:B,0)</f>
        <v>29</v>
      </c>
      <c r="D45">
        <f>_xlfn.XLOOKUP(A45, Weather_clean_data!A:A, Weather_clean_data!C:C, 0)</f>
        <v>0</v>
      </c>
      <c r="E45">
        <f t="shared" si="1"/>
        <v>60</v>
      </c>
      <c r="F45">
        <f t="shared" si="2"/>
        <v>60</v>
      </c>
      <c r="G45">
        <f t="shared" si="3"/>
        <v>0</v>
      </c>
      <c r="H45" s="7">
        <f t="shared" si="4"/>
        <v>0</v>
      </c>
      <c r="I45">
        <f t="shared" si="5"/>
        <v>40</v>
      </c>
      <c r="J45">
        <f t="shared" si="6"/>
        <v>40</v>
      </c>
      <c r="K45">
        <f t="shared" si="7"/>
        <v>0</v>
      </c>
      <c r="L45" s="7">
        <f t="shared" si="8"/>
        <v>0</v>
      </c>
      <c r="M45" t="s">
        <v>17</v>
      </c>
      <c r="N45">
        <v>2023</v>
      </c>
      <c r="O45" t="s">
        <v>27</v>
      </c>
    </row>
    <row r="46" spans="1:15">
      <c r="A46" s="5">
        <v>45091</v>
      </c>
      <c r="B46" s="6" t="str">
        <f t="shared" si="0"/>
        <v>NO</v>
      </c>
      <c r="C46">
        <f>_xlfn.XLOOKUP(A46,Weather_clean_data!A:A,Weather_clean_data!B:B,0)</f>
        <v>27</v>
      </c>
      <c r="D46">
        <f>_xlfn.XLOOKUP(A46, Weather_clean_data!A:A, Weather_clean_data!C:C, 0)</f>
        <v>0</v>
      </c>
      <c r="E46">
        <f t="shared" si="1"/>
        <v>60</v>
      </c>
      <c r="F46">
        <f t="shared" si="2"/>
        <v>60</v>
      </c>
      <c r="G46">
        <f t="shared" si="3"/>
        <v>0</v>
      </c>
      <c r="H46" s="7">
        <f t="shared" si="4"/>
        <v>0</v>
      </c>
      <c r="I46">
        <f t="shared" si="5"/>
        <v>40</v>
      </c>
      <c r="J46">
        <f t="shared" si="6"/>
        <v>40</v>
      </c>
      <c r="K46">
        <f t="shared" si="7"/>
        <v>0</v>
      </c>
      <c r="L46" s="7">
        <f t="shared" si="8"/>
        <v>0</v>
      </c>
      <c r="M46" t="s">
        <v>17</v>
      </c>
      <c r="N46">
        <v>2023</v>
      </c>
      <c r="O46" t="s">
        <v>27</v>
      </c>
    </row>
    <row r="47" spans="1:15">
      <c r="A47" s="5">
        <v>45092</v>
      </c>
      <c r="B47" s="6" t="str">
        <f t="shared" si="0"/>
        <v>NO</v>
      </c>
      <c r="C47">
        <f>_xlfn.XLOOKUP(A47,Weather_clean_data!A:A,Weather_clean_data!B:B,0)</f>
        <v>27</v>
      </c>
      <c r="D47">
        <f>_xlfn.XLOOKUP(A47, Weather_clean_data!A:A, Weather_clean_data!C:C, 0)</f>
        <v>0</v>
      </c>
      <c r="E47">
        <f t="shared" si="1"/>
        <v>60</v>
      </c>
      <c r="F47">
        <f t="shared" si="2"/>
        <v>60</v>
      </c>
      <c r="G47">
        <f t="shared" si="3"/>
        <v>0</v>
      </c>
      <c r="H47" s="7">
        <f t="shared" si="4"/>
        <v>0</v>
      </c>
      <c r="I47">
        <f t="shared" si="5"/>
        <v>40</v>
      </c>
      <c r="J47">
        <f t="shared" si="6"/>
        <v>40</v>
      </c>
      <c r="K47">
        <f t="shared" si="7"/>
        <v>0</v>
      </c>
      <c r="L47" s="7">
        <f t="shared" si="8"/>
        <v>0</v>
      </c>
      <c r="M47" t="s">
        <v>17</v>
      </c>
      <c r="N47">
        <v>2023</v>
      </c>
      <c r="O47" t="s">
        <v>27</v>
      </c>
    </row>
    <row r="48" spans="1:15">
      <c r="A48" s="5">
        <v>45093</v>
      </c>
      <c r="B48" s="6" t="str">
        <f t="shared" si="0"/>
        <v>NO</v>
      </c>
      <c r="C48">
        <f>_xlfn.XLOOKUP(A48,Weather_clean_data!A:A,Weather_clean_data!B:B,0)</f>
        <v>27</v>
      </c>
      <c r="D48">
        <f>_xlfn.XLOOKUP(A48, Weather_clean_data!A:A, Weather_clean_data!C:C, 0)</f>
        <v>0</v>
      </c>
      <c r="E48">
        <f t="shared" si="1"/>
        <v>60</v>
      </c>
      <c r="F48">
        <f t="shared" si="2"/>
        <v>60</v>
      </c>
      <c r="G48">
        <f t="shared" si="3"/>
        <v>0</v>
      </c>
      <c r="H48" s="7">
        <f t="shared" si="4"/>
        <v>0</v>
      </c>
      <c r="I48">
        <f t="shared" si="5"/>
        <v>40</v>
      </c>
      <c r="J48">
        <f t="shared" si="6"/>
        <v>40</v>
      </c>
      <c r="K48">
        <f t="shared" si="7"/>
        <v>0</v>
      </c>
      <c r="L48" s="7">
        <f t="shared" si="8"/>
        <v>0</v>
      </c>
      <c r="M48" t="s">
        <v>16</v>
      </c>
      <c r="N48">
        <v>2023</v>
      </c>
      <c r="O48" t="s">
        <v>27</v>
      </c>
    </row>
    <row r="49" spans="1:15">
      <c r="A49" s="5">
        <v>45094</v>
      </c>
      <c r="B49" s="6" t="str">
        <f t="shared" si="0"/>
        <v>YES</v>
      </c>
      <c r="C49">
        <f>_xlfn.XLOOKUP(A49,Weather_clean_data!A:A,Weather_clean_data!B:B,0)</f>
        <v>26</v>
      </c>
      <c r="D49">
        <f>_xlfn.XLOOKUP(A49, Weather_clean_data!A:A, Weather_clean_data!C:C, 0)</f>
        <v>5.8</v>
      </c>
      <c r="E49">
        <f t="shared" si="1"/>
        <v>150</v>
      </c>
      <c r="F49">
        <f t="shared" si="2"/>
        <v>36</v>
      </c>
      <c r="G49">
        <f t="shared" si="3"/>
        <v>114</v>
      </c>
      <c r="H49" s="7">
        <f t="shared" si="4"/>
        <v>820.80000000000007</v>
      </c>
      <c r="I49">
        <f t="shared" si="5"/>
        <v>100</v>
      </c>
      <c r="J49">
        <f t="shared" si="6"/>
        <v>24</v>
      </c>
      <c r="K49">
        <f t="shared" si="7"/>
        <v>76</v>
      </c>
      <c r="L49" s="7">
        <f t="shared" si="8"/>
        <v>304</v>
      </c>
      <c r="M49" t="s">
        <v>18</v>
      </c>
      <c r="N49">
        <v>2023</v>
      </c>
      <c r="O49" t="s">
        <v>27</v>
      </c>
    </row>
    <row r="50" spans="1:15">
      <c r="A50" s="5">
        <v>45095</v>
      </c>
      <c r="B50" s="6" t="str">
        <f t="shared" si="0"/>
        <v>YES</v>
      </c>
      <c r="C50">
        <f>_xlfn.XLOOKUP(A50,Weather_clean_data!A:A,Weather_clean_data!B:B,0)</f>
        <v>24</v>
      </c>
      <c r="D50">
        <f>_xlfn.XLOOKUP(A50, Weather_clean_data!A:A, Weather_clean_data!C:C, 0)</f>
        <v>4.5999999999999996</v>
      </c>
      <c r="E50">
        <f t="shared" si="1"/>
        <v>150</v>
      </c>
      <c r="F50">
        <f t="shared" si="2"/>
        <v>150</v>
      </c>
      <c r="G50">
        <f t="shared" si="3"/>
        <v>0</v>
      </c>
      <c r="H50" s="7">
        <f t="shared" si="4"/>
        <v>0</v>
      </c>
      <c r="I50">
        <f t="shared" si="5"/>
        <v>100</v>
      </c>
      <c r="J50">
        <f t="shared" si="6"/>
        <v>100</v>
      </c>
      <c r="K50">
        <f t="shared" si="7"/>
        <v>0</v>
      </c>
      <c r="L50" s="7">
        <f t="shared" si="8"/>
        <v>0</v>
      </c>
      <c r="M50" t="s">
        <v>16</v>
      </c>
      <c r="N50">
        <v>2023</v>
      </c>
      <c r="O50" t="s">
        <v>27</v>
      </c>
    </row>
    <row r="51" spans="1:15">
      <c r="A51" s="5">
        <v>45096</v>
      </c>
      <c r="B51" s="6" t="str">
        <f t="shared" si="0"/>
        <v>NO</v>
      </c>
      <c r="C51">
        <f>_xlfn.XLOOKUP(A51,Weather_clean_data!A:A,Weather_clean_data!B:B,0)</f>
        <v>25</v>
      </c>
      <c r="D51">
        <f>_xlfn.XLOOKUP(A51, Weather_clean_data!A:A, Weather_clean_data!C:C, 0)</f>
        <v>0</v>
      </c>
      <c r="E51">
        <f t="shared" si="1"/>
        <v>60</v>
      </c>
      <c r="F51">
        <f t="shared" si="2"/>
        <v>60</v>
      </c>
      <c r="G51">
        <f t="shared" si="3"/>
        <v>0</v>
      </c>
      <c r="H51" s="7">
        <f t="shared" si="4"/>
        <v>0</v>
      </c>
      <c r="I51">
        <f t="shared" si="5"/>
        <v>40</v>
      </c>
      <c r="J51">
        <f t="shared" si="6"/>
        <v>40</v>
      </c>
      <c r="K51">
        <f t="shared" si="7"/>
        <v>0</v>
      </c>
      <c r="L51" s="7">
        <f t="shared" si="8"/>
        <v>0</v>
      </c>
      <c r="M51" t="s">
        <v>17</v>
      </c>
      <c r="N51">
        <v>2023</v>
      </c>
      <c r="O51" t="s">
        <v>27</v>
      </c>
    </row>
    <row r="52" spans="1:15">
      <c r="A52" s="5">
        <v>45097</v>
      </c>
      <c r="B52" s="6" t="str">
        <f t="shared" si="0"/>
        <v>NO</v>
      </c>
      <c r="C52">
        <f>_xlfn.XLOOKUP(A52,Weather_clean_data!A:A,Weather_clean_data!B:B,0)</f>
        <v>22</v>
      </c>
      <c r="D52">
        <f>_xlfn.XLOOKUP(A52, Weather_clean_data!A:A, Weather_clean_data!C:C, 0)</f>
        <v>12.2</v>
      </c>
      <c r="E52">
        <f t="shared" si="1"/>
        <v>60</v>
      </c>
      <c r="F52">
        <f t="shared" si="2"/>
        <v>18</v>
      </c>
      <c r="G52">
        <f t="shared" si="3"/>
        <v>42</v>
      </c>
      <c r="H52" s="7">
        <f t="shared" si="4"/>
        <v>302.40000000000003</v>
      </c>
      <c r="I52">
        <f t="shared" si="5"/>
        <v>40</v>
      </c>
      <c r="J52">
        <f t="shared" si="6"/>
        <v>12</v>
      </c>
      <c r="K52">
        <f t="shared" si="7"/>
        <v>28</v>
      </c>
      <c r="L52" s="7">
        <f t="shared" si="8"/>
        <v>112</v>
      </c>
      <c r="M52" t="s">
        <v>18</v>
      </c>
      <c r="N52">
        <v>2023</v>
      </c>
      <c r="O52" t="s">
        <v>27</v>
      </c>
    </row>
    <row r="53" spans="1:15">
      <c r="A53" s="5">
        <v>45098</v>
      </c>
      <c r="B53" s="6" t="str">
        <f t="shared" si="0"/>
        <v>NO</v>
      </c>
      <c r="C53">
        <f>_xlfn.XLOOKUP(A53,Weather_clean_data!A:A,Weather_clean_data!B:B,0)</f>
        <v>24</v>
      </c>
      <c r="D53">
        <f>_xlfn.XLOOKUP(A53, Weather_clean_data!A:A, Weather_clean_data!C:C, 0)</f>
        <v>0</v>
      </c>
      <c r="E53">
        <f t="shared" si="1"/>
        <v>60</v>
      </c>
      <c r="F53">
        <f t="shared" si="2"/>
        <v>60</v>
      </c>
      <c r="G53">
        <f t="shared" si="3"/>
        <v>0</v>
      </c>
      <c r="H53" s="7">
        <f t="shared" si="4"/>
        <v>0</v>
      </c>
      <c r="I53">
        <f t="shared" si="5"/>
        <v>40</v>
      </c>
      <c r="J53">
        <f t="shared" si="6"/>
        <v>40</v>
      </c>
      <c r="K53">
        <f t="shared" si="7"/>
        <v>0</v>
      </c>
      <c r="L53" s="7">
        <f t="shared" si="8"/>
        <v>0</v>
      </c>
      <c r="M53" t="s">
        <v>17</v>
      </c>
      <c r="N53">
        <v>2023</v>
      </c>
      <c r="O53" t="s">
        <v>27</v>
      </c>
    </row>
    <row r="54" spans="1:15">
      <c r="A54" s="5">
        <v>45099</v>
      </c>
      <c r="B54" s="6" t="str">
        <f t="shared" si="0"/>
        <v>NO</v>
      </c>
      <c r="C54">
        <f>_xlfn.XLOOKUP(A54,Weather_clean_data!A:A,Weather_clean_data!B:B,0)</f>
        <v>26</v>
      </c>
      <c r="D54">
        <f>_xlfn.XLOOKUP(A54, Weather_clean_data!A:A, Weather_clean_data!C:C, 0)</f>
        <v>0.1</v>
      </c>
      <c r="E54">
        <f t="shared" si="1"/>
        <v>60</v>
      </c>
      <c r="F54">
        <f t="shared" si="2"/>
        <v>60</v>
      </c>
      <c r="G54">
        <f t="shared" si="3"/>
        <v>0</v>
      </c>
      <c r="H54" s="7">
        <f t="shared" si="4"/>
        <v>0</v>
      </c>
      <c r="I54">
        <f t="shared" si="5"/>
        <v>40</v>
      </c>
      <c r="J54">
        <f t="shared" si="6"/>
        <v>40</v>
      </c>
      <c r="K54">
        <f t="shared" si="7"/>
        <v>0</v>
      </c>
      <c r="L54" s="7">
        <f t="shared" si="8"/>
        <v>0</v>
      </c>
      <c r="M54" t="s">
        <v>17</v>
      </c>
      <c r="N54">
        <v>2023</v>
      </c>
      <c r="O54" t="s">
        <v>27</v>
      </c>
    </row>
    <row r="55" spans="1:15">
      <c r="A55" s="5">
        <v>45100</v>
      </c>
      <c r="B55" s="6" t="str">
        <f t="shared" si="0"/>
        <v>NO</v>
      </c>
      <c r="C55">
        <f>_xlfn.XLOOKUP(A55,Weather_clean_data!A:A,Weather_clean_data!B:B,0)</f>
        <v>24</v>
      </c>
      <c r="D55">
        <f>_xlfn.XLOOKUP(A55, Weather_clean_data!A:A, Weather_clean_data!C:C, 0)</f>
        <v>0</v>
      </c>
      <c r="E55">
        <f t="shared" si="1"/>
        <v>60</v>
      </c>
      <c r="F55">
        <f t="shared" si="2"/>
        <v>60</v>
      </c>
      <c r="G55">
        <f t="shared" si="3"/>
        <v>0</v>
      </c>
      <c r="H55" s="7">
        <f t="shared" si="4"/>
        <v>0</v>
      </c>
      <c r="I55">
        <f t="shared" si="5"/>
        <v>40</v>
      </c>
      <c r="J55">
        <f t="shared" si="6"/>
        <v>40</v>
      </c>
      <c r="K55">
        <f t="shared" si="7"/>
        <v>0</v>
      </c>
      <c r="L55" s="7">
        <f t="shared" si="8"/>
        <v>0</v>
      </c>
      <c r="M55" t="s">
        <v>16</v>
      </c>
      <c r="N55">
        <v>2023</v>
      </c>
      <c r="O55" t="s">
        <v>27</v>
      </c>
    </row>
    <row r="56" spans="1:15">
      <c r="A56" s="5">
        <v>45101</v>
      </c>
      <c r="B56" s="6" t="str">
        <f t="shared" si="0"/>
        <v>YES</v>
      </c>
      <c r="C56">
        <f>_xlfn.XLOOKUP(A56,Weather_clean_data!A:A,Weather_clean_data!B:B,0)</f>
        <v>27</v>
      </c>
      <c r="D56">
        <f>_xlfn.XLOOKUP(A56, Weather_clean_data!A:A, Weather_clean_data!C:C, 0)</f>
        <v>0.2</v>
      </c>
      <c r="E56">
        <f t="shared" si="1"/>
        <v>150</v>
      </c>
      <c r="F56">
        <f t="shared" si="2"/>
        <v>150</v>
      </c>
      <c r="G56">
        <f t="shared" si="3"/>
        <v>0</v>
      </c>
      <c r="H56" s="7">
        <f t="shared" si="4"/>
        <v>0</v>
      </c>
      <c r="I56">
        <f t="shared" si="5"/>
        <v>100</v>
      </c>
      <c r="J56">
        <f t="shared" si="6"/>
        <v>100</v>
      </c>
      <c r="K56">
        <f t="shared" si="7"/>
        <v>0</v>
      </c>
      <c r="L56" s="7">
        <f t="shared" si="8"/>
        <v>0</v>
      </c>
      <c r="M56" t="s">
        <v>16</v>
      </c>
      <c r="N56">
        <v>2023</v>
      </c>
      <c r="O56" t="s">
        <v>27</v>
      </c>
    </row>
    <row r="57" spans="1:15">
      <c r="A57" s="5">
        <v>45102</v>
      </c>
      <c r="B57" s="6" t="str">
        <f t="shared" si="0"/>
        <v>YES</v>
      </c>
      <c r="C57">
        <f>_xlfn.XLOOKUP(A57,Weather_clean_data!A:A,Weather_clean_data!B:B,0)</f>
        <v>29</v>
      </c>
      <c r="D57">
        <f>_xlfn.XLOOKUP(A57, Weather_clean_data!A:A, Weather_clean_data!C:C, 0)</f>
        <v>0.7</v>
      </c>
      <c r="E57">
        <f t="shared" si="1"/>
        <v>150</v>
      </c>
      <c r="F57">
        <f t="shared" si="2"/>
        <v>150</v>
      </c>
      <c r="G57">
        <f t="shared" si="3"/>
        <v>0</v>
      </c>
      <c r="H57" s="7">
        <f t="shared" si="4"/>
        <v>0</v>
      </c>
      <c r="I57">
        <f t="shared" si="5"/>
        <v>100</v>
      </c>
      <c r="J57">
        <f t="shared" si="6"/>
        <v>100</v>
      </c>
      <c r="K57">
        <f t="shared" si="7"/>
        <v>0</v>
      </c>
      <c r="L57" s="7">
        <f t="shared" si="8"/>
        <v>0</v>
      </c>
      <c r="M57" t="s">
        <v>16</v>
      </c>
      <c r="N57">
        <v>2023</v>
      </c>
      <c r="O57" t="s">
        <v>27</v>
      </c>
    </row>
    <row r="58" spans="1:15">
      <c r="A58" s="5">
        <v>45103</v>
      </c>
      <c r="B58" s="6" t="str">
        <f t="shared" si="0"/>
        <v>NO</v>
      </c>
      <c r="C58">
        <f>_xlfn.XLOOKUP(A58,Weather_clean_data!A:A,Weather_clean_data!B:B,0)</f>
        <v>22</v>
      </c>
      <c r="D58">
        <f>_xlfn.XLOOKUP(A58, Weather_clean_data!A:A, Weather_clean_data!C:C, 0)</f>
        <v>0.1</v>
      </c>
      <c r="E58">
        <f t="shared" si="1"/>
        <v>60</v>
      </c>
      <c r="F58">
        <f t="shared" si="2"/>
        <v>60</v>
      </c>
      <c r="G58">
        <f t="shared" si="3"/>
        <v>0</v>
      </c>
      <c r="H58" s="7">
        <f t="shared" si="4"/>
        <v>0</v>
      </c>
      <c r="I58">
        <f t="shared" si="5"/>
        <v>40</v>
      </c>
      <c r="J58">
        <f t="shared" si="6"/>
        <v>40</v>
      </c>
      <c r="K58">
        <f t="shared" si="7"/>
        <v>0</v>
      </c>
      <c r="L58" s="7">
        <f t="shared" si="8"/>
        <v>0</v>
      </c>
      <c r="M58" t="s">
        <v>17</v>
      </c>
      <c r="N58">
        <v>2023</v>
      </c>
      <c r="O58" t="s">
        <v>27</v>
      </c>
    </row>
    <row r="59" spans="1:15">
      <c r="A59" s="5">
        <v>45104</v>
      </c>
      <c r="B59" s="6" t="str">
        <f t="shared" si="0"/>
        <v>NO</v>
      </c>
      <c r="C59">
        <f>_xlfn.XLOOKUP(A59,Weather_clean_data!A:A,Weather_clean_data!B:B,0)</f>
        <v>20</v>
      </c>
      <c r="D59">
        <f>_xlfn.XLOOKUP(A59, Weather_clean_data!A:A, Weather_clean_data!C:C, 0)</f>
        <v>0</v>
      </c>
      <c r="E59">
        <f t="shared" si="1"/>
        <v>60</v>
      </c>
      <c r="F59">
        <f t="shared" si="2"/>
        <v>60</v>
      </c>
      <c r="G59">
        <f t="shared" si="3"/>
        <v>0</v>
      </c>
      <c r="H59" s="7">
        <f t="shared" si="4"/>
        <v>0</v>
      </c>
      <c r="I59">
        <f t="shared" si="5"/>
        <v>40</v>
      </c>
      <c r="J59">
        <f t="shared" si="6"/>
        <v>40</v>
      </c>
      <c r="K59">
        <f t="shared" si="7"/>
        <v>0</v>
      </c>
      <c r="L59" s="7">
        <f t="shared" si="8"/>
        <v>0</v>
      </c>
      <c r="M59" t="s">
        <v>17</v>
      </c>
      <c r="N59">
        <v>2023</v>
      </c>
      <c r="O59" t="s">
        <v>27</v>
      </c>
    </row>
    <row r="60" spans="1:15">
      <c r="A60" s="5">
        <v>45105</v>
      </c>
      <c r="B60" s="6" t="str">
        <f t="shared" si="0"/>
        <v>NO</v>
      </c>
      <c r="C60">
        <f>_xlfn.XLOOKUP(A60,Weather_clean_data!A:A,Weather_clean_data!B:B,0)</f>
        <v>22</v>
      </c>
      <c r="D60">
        <f>_xlfn.XLOOKUP(A60, Weather_clean_data!A:A, Weather_clean_data!C:C, 0)</f>
        <v>0.3</v>
      </c>
      <c r="E60">
        <f t="shared" si="1"/>
        <v>60</v>
      </c>
      <c r="F60">
        <f t="shared" si="2"/>
        <v>60</v>
      </c>
      <c r="G60">
        <f t="shared" si="3"/>
        <v>0</v>
      </c>
      <c r="H60" s="7">
        <f t="shared" si="4"/>
        <v>0</v>
      </c>
      <c r="I60">
        <f t="shared" si="5"/>
        <v>40</v>
      </c>
      <c r="J60">
        <f t="shared" si="6"/>
        <v>40</v>
      </c>
      <c r="K60">
        <f t="shared" si="7"/>
        <v>0</v>
      </c>
      <c r="L60" s="7">
        <f t="shared" si="8"/>
        <v>0</v>
      </c>
      <c r="M60" t="s">
        <v>17</v>
      </c>
      <c r="N60">
        <v>2023</v>
      </c>
      <c r="O60" t="s">
        <v>27</v>
      </c>
    </row>
    <row r="61" spans="1:15">
      <c r="A61" s="5">
        <v>45106</v>
      </c>
      <c r="B61" s="6" t="str">
        <f t="shared" si="0"/>
        <v>NO</v>
      </c>
      <c r="C61">
        <f>_xlfn.XLOOKUP(A61,Weather_clean_data!A:A,Weather_clean_data!B:B,0)</f>
        <v>22</v>
      </c>
      <c r="D61">
        <f>_xlfn.XLOOKUP(A61, Weather_clean_data!A:A, Weather_clean_data!C:C, 0)</f>
        <v>0.8</v>
      </c>
      <c r="E61">
        <f t="shared" si="1"/>
        <v>60</v>
      </c>
      <c r="F61">
        <f t="shared" si="2"/>
        <v>60</v>
      </c>
      <c r="G61">
        <f t="shared" si="3"/>
        <v>0</v>
      </c>
      <c r="H61" s="7">
        <f t="shared" si="4"/>
        <v>0</v>
      </c>
      <c r="I61">
        <f t="shared" si="5"/>
        <v>40</v>
      </c>
      <c r="J61">
        <f t="shared" si="6"/>
        <v>40</v>
      </c>
      <c r="K61">
        <f t="shared" si="7"/>
        <v>0</v>
      </c>
      <c r="L61" s="7">
        <f t="shared" si="8"/>
        <v>0</v>
      </c>
      <c r="M61" t="s">
        <v>17</v>
      </c>
      <c r="N61">
        <v>2023</v>
      </c>
      <c r="O61" t="s">
        <v>27</v>
      </c>
    </row>
    <row r="62" spans="1:15">
      <c r="A62" s="5">
        <v>45107</v>
      </c>
      <c r="B62" s="6" t="str">
        <f t="shared" si="0"/>
        <v>NO</v>
      </c>
      <c r="C62">
        <f>_xlfn.XLOOKUP(A62,Weather_clean_data!A:A,Weather_clean_data!B:B,0)</f>
        <v>19</v>
      </c>
      <c r="D62">
        <f>_xlfn.XLOOKUP(A62, Weather_clean_data!A:A, Weather_clean_data!C:C, 0)</f>
        <v>1.1000000000000001</v>
      </c>
      <c r="E62">
        <f t="shared" si="1"/>
        <v>60</v>
      </c>
      <c r="F62">
        <f t="shared" si="2"/>
        <v>60</v>
      </c>
      <c r="G62">
        <f t="shared" si="3"/>
        <v>0</v>
      </c>
      <c r="H62" s="7">
        <f t="shared" si="4"/>
        <v>0</v>
      </c>
      <c r="I62">
        <f t="shared" si="5"/>
        <v>40</v>
      </c>
      <c r="J62">
        <f t="shared" si="6"/>
        <v>40</v>
      </c>
      <c r="K62">
        <f t="shared" si="7"/>
        <v>0</v>
      </c>
      <c r="L62" s="7">
        <f t="shared" si="8"/>
        <v>0</v>
      </c>
      <c r="M62" t="s">
        <v>16</v>
      </c>
      <c r="N62">
        <v>2023</v>
      </c>
      <c r="O62" t="s">
        <v>27</v>
      </c>
    </row>
    <row r="63" spans="1:15">
      <c r="A63" s="5">
        <v>45413</v>
      </c>
      <c r="B63" s="6" t="str">
        <f t="shared" si="0"/>
        <v>NO</v>
      </c>
      <c r="C63">
        <f>_xlfn.XLOOKUP(A63,Weather_clean_data!A:A,Weather_clean_data!B:B,0)</f>
        <v>17</v>
      </c>
      <c r="D63">
        <f>_xlfn.XLOOKUP(A63, Weather_clean_data!A:A, Weather_clean_data!C:C, 0)</f>
        <v>3.4</v>
      </c>
      <c r="E63">
        <f t="shared" si="1"/>
        <v>60</v>
      </c>
      <c r="F63">
        <f t="shared" si="2"/>
        <v>60</v>
      </c>
      <c r="G63">
        <f t="shared" si="3"/>
        <v>0</v>
      </c>
      <c r="H63" s="7">
        <f t="shared" si="4"/>
        <v>0</v>
      </c>
      <c r="I63">
        <f t="shared" si="5"/>
        <v>40</v>
      </c>
      <c r="J63">
        <f t="shared" si="6"/>
        <v>40</v>
      </c>
      <c r="K63">
        <f t="shared" si="7"/>
        <v>0</v>
      </c>
      <c r="L63" s="7">
        <f t="shared" si="8"/>
        <v>0</v>
      </c>
      <c r="M63" t="s">
        <v>17</v>
      </c>
      <c r="N63">
        <v>2024</v>
      </c>
      <c r="O63" t="s">
        <v>26</v>
      </c>
    </row>
    <row r="64" spans="1:15">
      <c r="A64" s="5">
        <v>45414</v>
      </c>
      <c r="B64" s="6" t="str">
        <f t="shared" si="0"/>
        <v>NO</v>
      </c>
      <c r="C64">
        <f>_xlfn.XLOOKUP(A64,Weather_clean_data!A:A,Weather_clean_data!B:B,0)</f>
        <v>15</v>
      </c>
      <c r="D64">
        <f>_xlfn.XLOOKUP(A64, Weather_clean_data!A:A, Weather_clean_data!C:C, 0)</f>
        <v>0.9</v>
      </c>
      <c r="E64">
        <f t="shared" si="1"/>
        <v>60</v>
      </c>
      <c r="F64">
        <f t="shared" si="2"/>
        <v>60</v>
      </c>
      <c r="G64">
        <f t="shared" si="3"/>
        <v>0</v>
      </c>
      <c r="H64" s="7">
        <f t="shared" si="4"/>
        <v>0</v>
      </c>
      <c r="I64">
        <f t="shared" si="5"/>
        <v>40</v>
      </c>
      <c r="J64">
        <f t="shared" si="6"/>
        <v>40</v>
      </c>
      <c r="K64">
        <f t="shared" si="7"/>
        <v>0</v>
      </c>
      <c r="L64" s="7">
        <f t="shared" si="8"/>
        <v>0</v>
      </c>
      <c r="M64" t="s">
        <v>17</v>
      </c>
      <c r="N64">
        <v>2024</v>
      </c>
      <c r="O64" t="s">
        <v>26</v>
      </c>
    </row>
    <row r="65" spans="1:15">
      <c r="A65" s="5">
        <v>45415</v>
      </c>
      <c r="B65" s="6" t="str">
        <f t="shared" si="0"/>
        <v>NO</v>
      </c>
      <c r="C65">
        <f>_xlfn.XLOOKUP(A65,Weather_clean_data!A:A,Weather_clean_data!B:B,0)</f>
        <v>12</v>
      </c>
      <c r="D65">
        <f>_xlfn.XLOOKUP(A65, Weather_clean_data!A:A, Weather_clean_data!C:C, 0)</f>
        <v>13.6</v>
      </c>
      <c r="E65">
        <f t="shared" si="1"/>
        <v>60</v>
      </c>
      <c r="F65">
        <f t="shared" si="2"/>
        <v>18</v>
      </c>
      <c r="G65">
        <f t="shared" si="3"/>
        <v>42</v>
      </c>
      <c r="H65" s="7">
        <f t="shared" si="4"/>
        <v>302.40000000000003</v>
      </c>
      <c r="I65">
        <f t="shared" si="5"/>
        <v>40</v>
      </c>
      <c r="J65">
        <f t="shared" si="6"/>
        <v>12</v>
      </c>
      <c r="K65">
        <f t="shared" si="7"/>
        <v>28</v>
      </c>
      <c r="L65" s="7">
        <f t="shared" si="8"/>
        <v>112</v>
      </c>
      <c r="M65" t="s">
        <v>18</v>
      </c>
      <c r="N65">
        <v>2024</v>
      </c>
      <c r="O65" t="s">
        <v>26</v>
      </c>
    </row>
    <row r="66" spans="1:15">
      <c r="A66" s="5">
        <v>45416</v>
      </c>
      <c r="B66" s="6" t="str">
        <f t="shared" si="0"/>
        <v>YES</v>
      </c>
      <c r="C66">
        <f>_xlfn.XLOOKUP(A66,Weather_clean_data!A:A,Weather_clean_data!B:B,0)</f>
        <v>18</v>
      </c>
      <c r="D66">
        <f>_xlfn.XLOOKUP(A66, Weather_clean_data!A:A, Weather_clean_data!C:C, 0)</f>
        <v>0</v>
      </c>
      <c r="E66">
        <f t="shared" si="1"/>
        <v>150</v>
      </c>
      <c r="F66">
        <f t="shared" si="2"/>
        <v>150</v>
      </c>
      <c r="G66">
        <f t="shared" si="3"/>
        <v>0</v>
      </c>
      <c r="H66" s="7">
        <f t="shared" si="4"/>
        <v>0</v>
      </c>
      <c r="I66">
        <f t="shared" si="5"/>
        <v>100</v>
      </c>
      <c r="J66">
        <f t="shared" si="6"/>
        <v>100</v>
      </c>
      <c r="K66">
        <f t="shared" si="7"/>
        <v>0</v>
      </c>
      <c r="L66" s="7">
        <f t="shared" si="8"/>
        <v>0</v>
      </c>
      <c r="M66" t="s">
        <v>16</v>
      </c>
      <c r="N66">
        <v>2024</v>
      </c>
      <c r="O66" t="s">
        <v>26</v>
      </c>
    </row>
    <row r="67" spans="1:15">
      <c r="A67" s="5">
        <v>45417</v>
      </c>
      <c r="B67" s="6" t="str">
        <f t="shared" ref="B67:B130" si="9">IF( WEEKDAY(A67, 2)  &gt;  5, "YES", "NO")</f>
        <v>YES</v>
      </c>
      <c r="C67">
        <f>_xlfn.XLOOKUP(A67,Weather_clean_data!A:A,Weather_clean_data!B:B,0)</f>
        <v>17</v>
      </c>
      <c r="D67">
        <f>_xlfn.XLOOKUP(A67, Weather_clean_data!A:A, Weather_clean_data!C:C, 0)</f>
        <v>2.9</v>
      </c>
      <c r="E67">
        <f t="shared" ref="E67:E130" si="10">IF(B67="Yes", 150, 60)</f>
        <v>150</v>
      </c>
      <c r="F67">
        <f t="shared" ref="F67:F130" si="11">IF(C67&gt;30,E67*0.15,IF(D67&gt;5,IF(B67="YES",36,18),E67))</f>
        <v>150</v>
      </c>
      <c r="G67">
        <f t="shared" ref="G67:G130" si="12">E67-F67</f>
        <v>0</v>
      </c>
      <c r="H67" s="7">
        <f t="shared" ref="H67:H130" si="13">G67 * 7.2</f>
        <v>0</v>
      </c>
      <c r="I67">
        <f t="shared" ref="I67:I130" si="14">IF(B67="Yes", 100, 40)</f>
        <v>100</v>
      </c>
      <c r="J67">
        <f t="shared" ref="J67:J130" si="15">IF(C67&gt;30,I67*0.15,IF(D67&gt;5,IF(B67="YES",24,12),I67))</f>
        <v>100</v>
      </c>
      <c r="K67">
        <f t="shared" ref="K67:K130" si="16">I67-J67</f>
        <v>0</v>
      </c>
      <c r="L67" s="7">
        <f t="shared" ref="L67:L130" si="17">K67 * 4</f>
        <v>0</v>
      </c>
      <c r="M67" t="s">
        <v>16</v>
      </c>
      <c r="N67">
        <v>2024</v>
      </c>
      <c r="O67" t="s">
        <v>26</v>
      </c>
    </row>
    <row r="68" spans="1:15">
      <c r="A68" s="5">
        <v>45418</v>
      </c>
      <c r="B68" s="6" t="str">
        <f t="shared" si="9"/>
        <v>NO</v>
      </c>
      <c r="C68">
        <f>_xlfn.XLOOKUP(A68,Weather_clean_data!A:A,Weather_clean_data!B:B,0)</f>
        <v>18</v>
      </c>
      <c r="D68">
        <f>_xlfn.XLOOKUP(A68, Weather_clean_data!A:A, Weather_clean_data!C:C, 0)</f>
        <v>0.4</v>
      </c>
      <c r="E68">
        <f t="shared" si="10"/>
        <v>60</v>
      </c>
      <c r="F68">
        <f t="shared" si="11"/>
        <v>60</v>
      </c>
      <c r="G68">
        <f t="shared" si="12"/>
        <v>0</v>
      </c>
      <c r="H68" s="7">
        <f t="shared" si="13"/>
        <v>0</v>
      </c>
      <c r="I68">
        <f t="shared" si="14"/>
        <v>40</v>
      </c>
      <c r="J68">
        <f t="shared" si="15"/>
        <v>40</v>
      </c>
      <c r="K68">
        <f t="shared" si="16"/>
        <v>0</v>
      </c>
      <c r="L68" s="7">
        <f t="shared" si="17"/>
        <v>0</v>
      </c>
      <c r="M68" t="s">
        <v>17</v>
      </c>
      <c r="N68">
        <v>2024</v>
      </c>
      <c r="O68" t="s">
        <v>26</v>
      </c>
    </row>
    <row r="69" spans="1:15">
      <c r="A69" s="5">
        <v>45419</v>
      </c>
      <c r="B69" s="6" t="str">
        <f t="shared" si="9"/>
        <v>NO</v>
      </c>
      <c r="C69">
        <f>_xlfn.XLOOKUP(A69,Weather_clean_data!A:A,Weather_clean_data!B:B,0)</f>
        <v>20</v>
      </c>
      <c r="D69">
        <f>_xlfn.XLOOKUP(A69, Weather_clean_data!A:A, Weather_clean_data!C:C, 0)</f>
        <v>0</v>
      </c>
      <c r="E69">
        <f t="shared" si="10"/>
        <v>60</v>
      </c>
      <c r="F69">
        <f t="shared" si="11"/>
        <v>60</v>
      </c>
      <c r="G69">
        <f t="shared" si="12"/>
        <v>0</v>
      </c>
      <c r="H69" s="7">
        <f t="shared" si="13"/>
        <v>0</v>
      </c>
      <c r="I69">
        <f t="shared" si="14"/>
        <v>40</v>
      </c>
      <c r="J69">
        <f t="shared" si="15"/>
        <v>40</v>
      </c>
      <c r="K69">
        <f t="shared" si="16"/>
        <v>0</v>
      </c>
      <c r="L69" s="7">
        <f t="shared" si="17"/>
        <v>0</v>
      </c>
      <c r="M69" t="s">
        <v>17</v>
      </c>
      <c r="N69">
        <v>2024</v>
      </c>
      <c r="O69" t="s">
        <v>26</v>
      </c>
    </row>
    <row r="70" spans="1:15">
      <c r="A70" s="5">
        <v>45420</v>
      </c>
      <c r="B70" s="6" t="str">
        <f t="shared" si="9"/>
        <v>NO</v>
      </c>
      <c r="C70">
        <f>_xlfn.XLOOKUP(A70,Weather_clean_data!A:A,Weather_clean_data!B:B,0)</f>
        <v>21</v>
      </c>
      <c r="D70">
        <f>_xlfn.XLOOKUP(A70, Weather_clean_data!A:A, Weather_clean_data!C:C, 0)</f>
        <v>0.2</v>
      </c>
      <c r="E70">
        <f t="shared" si="10"/>
        <v>60</v>
      </c>
      <c r="F70">
        <f t="shared" si="11"/>
        <v>60</v>
      </c>
      <c r="G70">
        <f t="shared" si="12"/>
        <v>0</v>
      </c>
      <c r="H70" s="7">
        <f t="shared" si="13"/>
        <v>0</v>
      </c>
      <c r="I70">
        <f t="shared" si="14"/>
        <v>40</v>
      </c>
      <c r="J70">
        <f t="shared" si="15"/>
        <v>40</v>
      </c>
      <c r="K70">
        <f t="shared" si="16"/>
        <v>0</v>
      </c>
      <c r="L70" s="7">
        <f t="shared" si="17"/>
        <v>0</v>
      </c>
      <c r="M70" t="s">
        <v>17</v>
      </c>
      <c r="N70">
        <v>2024</v>
      </c>
      <c r="O70" t="s">
        <v>26</v>
      </c>
    </row>
    <row r="71" spans="1:15">
      <c r="A71" s="5">
        <v>45421</v>
      </c>
      <c r="B71" s="6" t="str">
        <f t="shared" si="9"/>
        <v>NO</v>
      </c>
      <c r="C71">
        <f>_xlfn.XLOOKUP(A71,Weather_clean_data!A:A,Weather_clean_data!B:B,0)</f>
        <v>23</v>
      </c>
      <c r="D71">
        <f>_xlfn.XLOOKUP(A71, Weather_clean_data!A:A, Weather_clean_data!C:C, 0)</f>
        <v>0</v>
      </c>
      <c r="E71">
        <f t="shared" si="10"/>
        <v>60</v>
      </c>
      <c r="F71">
        <f t="shared" si="11"/>
        <v>60</v>
      </c>
      <c r="G71">
        <f t="shared" si="12"/>
        <v>0</v>
      </c>
      <c r="H71" s="7">
        <f t="shared" si="13"/>
        <v>0</v>
      </c>
      <c r="I71">
        <f t="shared" si="14"/>
        <v>40</v>
      </c>
      <c r="J71">
        <f t="shared" si="15"/>
        <v>40</v>
      </c>
      <c r="K71">
        <f t="shared" si="16"/>
        <v>0</v>
      </c>
      <c r="L71" s="7">
        <f t="shared" si="17"/>
        <v>0</v>
      </c>
      <c r="M71" t="s">
        <v>17</v>
      </c>
      <c r="N71">
        <v>2024</v>
      </c>
      <c r="O71" t="s">
        <v>26</v>
      </c>
    </row>
    <row r="72" spans="1:15">
      <c r="A72" s="5">
        <v>45422</v>
      </c>
      <c r="B72" s="6" t="str">
        <f t="shared" si="9"/>
        <v>NO</v>
      </c>
      <c r="C72">
        <f>_xlfn.XLOOKUP(A72,Weather_clean_data!A:A,Weather_clean_data!B:B,0)</f>
        <v>24</v>
      </c>
      <c r="D72">
        <f>_xlfn.XLOOKUP(A72, Weather_clean_data!A:A, Weather_clean_data!C:C, 0)</f>
        <v>0</v>
      </c>
      <c r="E72">
        <f t="shared" si="10"/>
        <v>60</v>
      </c>
      <c r="F72">
        <f t="shared" si="11"/>
        <v>60</v>
      </c>
      <c r="G72">
        <f t="shared" si="12"/>
        <v>0</v>
      </c>
      <c r="H72" s="7">
        <f t="shared" si="13"/>
        <v>0</v>
      </c>
      <c r="I72">
        <f t="shared" si="14"/>
        <v>40</v>
      </c>
      <c r="J72">
        <f t="shared" si="15"/>
        <v>40</v>
      </c>
      <c r="K72">
        <f t="shared" si="16"/>
        <v>0</v>
      </c>
      <c r="L72" s="7">
        <f t="shared" si="17"/>
        <v>0</v>
      </c>
      <c r="M72" t="s">
        <v>16</v>
      </c>
      <c r="N72">
        <v>2024</v>
      </c>
      <c r="O72" t="s">
        <v>26</v>
      </c>
    </row>
    <row r="73" spans="1:15">
      <c r="A73" s="5">
        <v>45423</v>
      </c>
      <c r="B73" s="6" t="str">
        <f t="shared" si="9"/>
        <v>YES</v>
      </c>
      <c r="C73">
        <f>_xlfn.XLOOKUP(A73,Weather_clean_data!A:A,Weather_clean_data!B:B,0)</f>
        <v>23</v>
      </c>
      <c r="D73">
        <f>_xlfn.XLOOKUP(A73, Weather_clean_data!A:A, Weather_clean_data!C:C, 0)</f>
        <v>0</v>
      </c>
      <c r="E73">
        <f t="shared" si="10"/>
        <v>150</v>
      </c>
      <c r="F73">
        <f t="shared" si="11"/>
        <v>150</v>
      </c>
      <c r="G73">
        <f t="shared" si="12"/>
        <v>0</v>
      </c>
      <c r="H73" s="7">
        <f t="shared" si="13"/>
        <v>0</v>
      </c>
      <c r="I73">
        <f t="shared" si="14"/>
        <v>100</v>
      </c>
      <c r="J73">
        <f t="shared" si="15"/>
        <v>100</v>
      </c>
      <c r="K73">
        <f t="shared" si="16"/>
        <v>0</v>
      </c>
      <c r="L73" s="7">
        <f t="shared" si="17"/>
        <v>0</v>
      </c>
      <c r="M73" t="s">
        <v>16</v>
      </c>
      <c r="N73">
        <v>2024</v>
      </c>
      <c r="O73" t="s">
        <v>26</v>
      </c>
    </row>
    <row r="74" spans="1:15">
      <c r="A74" s="5">
        <v>45424</v>
      </c>
      <c r="B74" s="6" t="str">
        <f t="shared" si="9"/>
        <v>YES</v>
      </c>
      <c r="C74">
        <f>_xlfn.XLOOKUP(A74,Weather_clean_data!A:A,Weather_clean_data!B:B,0)</f>
        <v>26</v>
      </c>
      <c r="D74">
        <f>_xlfn.XLOOKUP(A74, Weather_clean_data!A:A, Weather_clean_data!C:C, 0)</f>
        <v>0.8</v>
      </c>
      <c r="E74">
        <f t="shared" si="10"/>
        <v>150</v>
      </c>
      <c r="F74">
        <f t="shared" si="11"/>
        <v>150</v>
      </c>
      <c r="G74">
        <f t="shared" si="12"/>
        <v>0</v>
      </c>
      <c r="H74" s="7">
        <f t="shared" si="13"/>
        <v>0</v>
      </c>
      <c r="I74">
        <f t="shared" si="14"/>
        <v>100</v>
      </c>
      <c r="J74">
        <f t="shared" si="15"/>
        <v>100</v>
      </c>
      <c r="K74">
        <f t="shared" si="16"/>
        <v>0</v>
      </c>
      <c r="L74" s="7">
        <f t="shared" si="17"/>
        <v>0</v>
      </c>
      <c r="M74" t="s">
        <v>16</v>
      </c>
      <c r="N74">
        <v>2024</v>
      </c>
      <c r="O74" t="s">
        <v>26</v>
      </c>
    </row>
    <row r="75" spans="1:15">
      <c r="A75" s="5">
        <v>45425</v>
      </c>
      <c r="B75" s="6" t="str">
        <f t="shared" si="9"/>
        <v>NO</v>
      </c>
      <c r="C75">
        <f>_xlfn.XLOOKUP(A75,Weather_clean_data!A:A,Weather_clean_data!B:B,0)</f>
        <v>18</v>
      </c>
      <c r="D75">
        <f>_xlfn.XLOOKUP(A75, Weather_clean_data!A:A, Weather_clean_data!C:C, 0)</f>
        <v>3.6</v>
      </c>
      <c r="E75">
        <f t="shared" si="10"/>
        <v>60</v>
      </c>
      <c r="F75">
        <f t="shared" si="11"/>
        <v>60</v>
      </c>
      <c r="G75">
        <f t="shared" si="12"/>
        <v>0</v>
      </c>
      <c r="H75" s="7">
        <f t="shared" si="13"/>
        <v>0</v>
      </c>
      <c r="I75">
        <f t="shared" si="14"/>
        <v>40</v>
      </c>
      <c r="J75">
        <f t="shared" si="15"/>
        <v>40</v>
      </c>
      <c r="K75">
        <f t="shared" si="16"/>
        <v>0</v>
      </c>
      <c r="L75" s="7">
        <f t="shared" si="17"/>
        <v>0</v>
      </c>
      <c r="M75" t="s">
        <v>17</v>
      </c>
      <c r="N75">
        <v>2024</v>
      </c>
      <c r="O75" t="s">
        <v>26</v>
      </c>
    </row>
    <row r="76" spans="1:15">
      <c r="A76" s="5">
        <v>45426</v>
      </c>
      <c r="B76" s="6" t="str">
        <f t="shared" si="9"/>
        <v>NO</v>
      </c>
      <c r="C76">
        <f>_xlfn.XLOOKUP(A76,Weather_clean_data!A:A,Weather_clean_data!B:B,0)</f>
        <v>18</v>
      </c>
      <c r="D76">
        <f>_xlfn.XLOOKUP(A76, Weather_clean_data!A:A, Weather_clean_data!C:C, 0)</f>
        <v>3.4</v>
      </c>
      <c r="E76">
        <f t="shared" si="10"/>
        <v>60</v>
      </c>
      <c r="F76">
        <f t="shared" si="11"/>
        <v>60</v>
      </c>
      <c r="G76">
        <f t="shared" si="12"/>
        <v>0</v>
      </c>
      <c r="H76" s="7">
        <f t="shared" si="13"/>
        <v>0</v>
      </c>
      <c r="I76">
        <f t="shared" si="14"/>
        <v>40</v>
      </c>
      <c r="J76">
        <f t="shared" si="15"/>
        <v>40</v>
      </c>
      <c r="K76">
        <f t="shared" si="16"/>
        <v>0</v>
      </c>
      <c r="L76" s="7">
        <f t="shared" si="17"/>
        <v>0</v>
      </c>
      <c r="M76" t="s">
        <v>17</v>
      </c>
      <c r="N76">
        <v>2024</v>
      </c>
      <c r="O76" t="s">
        <v>26</v>
      </c>
    </row>
    <row r="77" spans="1:15">
      <c r="A77" s="5">
        <v>45427</v>
      </c>
      <c r="B77" s="6" t="str">
        <f t="shared" si="9"/>
        <v>NO</v>
      </c>
      <c r="C77">
        <f>_xlfn.XLOOKUP(A77,Weather_clean_data!A:A,Weather_clean_data!B:B,0)</f>
        <v>20</v>
      </c>
      <c r="D77">
        <f>_xlfn.XLOOKUP(A77, Weather_clean_data!A:A, Weather_clean_data!C:C, 0)</f>
        <v>0</v>
      </c>
      <c r="E77">
        <f t="shared" si="10"/>
        <v>60</v>
      </c>
      <c r="F77">
        <f t="shared" si="11"/>
        <v>60</v>
      </c>
      <c r="G77">
        <f t="shared" si="12"/>
        <v>0</v>
      </c>
      <c r="H77" s="7">
        <f t="shared" si="13"/>
        <v>0</v>
      </c>
      <c r="I77">
        <f t="shared" si="14"/>
        <v>40</v>
      </c>
      <c r="J77">
        <f t="shared" si="15"/>
        <v>40</v>
      </c>
      <c r="K77">
        <f t="shared" si="16"/>
        <v>0</v>
      </c>
      <c r="L77" s="7">
        <f t="shared" si="17"/>
        <v>0</v>
      </c>
      <c r="M77" t="s">
        <v>17</v>
      </c>
      <c r="N77">
        <v>2024</v>
      </c>
      <c r="O77" t="s">
        <v>26</v>
      </c>
    </row>
    <row r="78" spans="1:15">
      <c r="A78" s="5">
        <v>45428</v>
      </c>
      <c r="B78" s="6" t="str">
        <f t="shared" si="9"/>
        <v>NO</v>
      </c>
      <c r="C78">
        <f>_xlfn.XLOOKUP(A78,Weather_clean_data!A:A,Weather_clean_data!B:B,0)</f>
        <v>19</v>
      </c>
      <c r="D78">
        <f>_xlfn.XLOOKUP(A78, Weather_clean_data!A:A, Weather_clean_data!C:C, 0)</f>
        <v>1.4</v>
      </c>
      <c r="E78">
        <f t="shared" si="10"/>
        <v>60</v>
      </c>
      <c r="F78">
        <f t="shared" si="11"/>
        <v>60</v>
      </c>
      <c r="G78">
        <f t="shared" si="12"/>
        <v>0</v>
      </c>
      <c r="H78" s="7">
        <f t="shared" si="13"/>
        <v>0</v>
      </c>
      <c r="I78">
        <f t="shared" si="14"/>
        <v>40</v>
      </c>
      <c r="J78">
        <f t="shared" si="15"/>
        <v>40</v>
      </c>
      <c r="K78">
        <f t="shared" si="16"/>
        <v>0</v>
      </c>
      <c r="L78" s="7">
        <f t="shared" si="17"/>
        <v>0</v>
      </c>
      <c r="M78" t="s">
        <v>17</v>
      </c>
      <c r="N78">
        <v>2024</v>
      </c>
      <c r="O78" t="s">
        <v>26</v>
      </c>
    </row>
    <row r="79" spans="1:15">
      <c r="A79" s="5">
        <v>45429</v>
      </c>
      <c r="B79" s="6" t="str">
        <f t="shared" si="9"/>
        <v>NO</v>
      </c>
      <c r="C79">
        <f>_xlfn.XLOOKUP(A79,Weather_clean_data!A:A,Weather_clean_data!B:B,0)</f>
        <v>21</v>
      </c>
      <c r="D79">
        <f>_xlfn.XLOOKUP(A79, Weather_clean_data!A:A, Weather_clean_data!C:C, 0)</f>
        <v>0</v>
      </c>
      <c r="E79">
        <f t="shared" si="10"/>
        <v>60</v>
      </c>
      <c r="F79">
        <f t="shared" si="11"/>
        <v>60</v>
      </c>
      <c r="G79">
        <f t="shared" si="12"/>
        <v>0</v>
      </c>
      <c r="H79" s="7">
        <f t="shared" si="13"/>
        <v>0</v>
      </c>
      <c r="I79">
        <f t="shared" si="14"/>
        <v>40</v>
      </c>
      <c r="J79">
        <f t="shared" si="15"/>
        <v>40</v>
      </c>
      <c r="K79">
        <f t="shared" si="16"/>
        <v>0</v>
      </c>
      <c r="L79" s="7">
        <f t="shared" si="17"/>
        <v>0</v>
      </c>
      <c r="M79" t="s">
        <v>16</v>
      </c>
      <c r="N79">
        <v>2024</v>
      </c>
      <c r="O79" t="s">
        <v>26</v>
      </c>
    </row>
    <row r="80" spans="1:15">
      <c r="A80" s="5">
        <v>45430</v>
      </c>
      <c r="B80" s="6" t="str">
        <f t="shared" si="9"/>
        <v>YES</v>
      </c>
      <c r="C80">
        <f>_xlfn.XLOOKUP(A80,Weather_clean_data!A:A,Weather_clean_data!B:B,0)</f>
        <v>21</v>
      </c>
      <c r="D80">
        <f>_xlfn.XLOOKUP(A80, Weather_clean_data!A:A, Weather_clean_data!C:C, 0)</f>
        <v>4.2</v>
      </c>
      <c r="E80">
        <f t="shared" si="10"/>
        <v>150</v>
      </c>
      <c r="F80">
        <f t="shared" si="11"/>
        <v>150</v>
      </c>
      <c r="G80">
        <f t="shared" si="12"/>
        <v>0</v>
      </c>
      <c r="H80" s="7">
        <f t="shared" si="13"/>
        <v>0</v>
      </c>
      <c r="I80">
        <f t="shared" si="14"/>
        <v>100</v>
      </c>
      <c r="J80">
        <f t="shared" si="15"/>
        <v>100</v>
      </c>
      <c r="K80">
        <f t="shared" si="16"/>
        <v>0</v>
      </c>
      <c r="L80" s="7">
        <f t="shared" si="17"/>
        <v>0</v>
      </c>
      <c r="M80" t="s">
        <v>16</v>
      </c>
      <c r="N80">
        <v>2024</v>
      </c>
      <c r="O80" t="s">
        <v>26</v>
      </c>
    </row>
    <row r="81" spans="1:15">
      <c r="A81" s="5">
        <v>45431</v>
      </c>
      <c r="B81" s="6" t="str">
        <f t="shared" si="9"/>
        <v>YES</v>
      </c>
      <c r="C81">
        <f>_xlfn.XLOOKUP(A81,Weather_clean_data!A:A,Weather_clean_data!B:B,0)</f>
        <v>22</v>
      </c>
      <c r="D81">
        <f>_xlfn.XLOOKUP(A81, Weather_clean_data!A:A, Weather_clean_data!C:C, 0)</f>
        <v>0</v>
      </c>
      <c r="E81">
        <f t="shared" si="10"/>
        <v>150</v>
      </c>
      <c r="F81">
        <f t="shared" si="11"/>
        <v>150</v>
      </c>
      <c r="G81">
        <f t="shared" si="12"/>
        <v>0</v>
      </c>
      <c r="H81" s="7">
        <f t="shared" si="13"/>
        <v>0</v>
      </c>
      <c r="I81">
        <f t="shared" si="14"/>
        <v>100</v>
      </c>
      <c r="J81">
        <f t="shared" si="15"/>
        <v>100</v>
      </c>
      <c r="K81">
        <f t="shared" si="16"/>
        <v>0</v>
      </c>
      <c r="L81" s="7">
        <f t="shared" si="17"/>
        <v>0</v>
      </c>
      <c r="M81" t="s">
        <v>16</v>
      </c>
      <c r="N81">
        <v>2024</v>
      </c>
      <c r="O81" t="s">
        <v>26</v>
      </c>
    </row>
    <row r="82" spans="1:15">
      <c r="A82" s="5">
        <v>45432</v>
      </c>
      <c r="B82" s="6" t="str">
        <f t="shared" si="9"/>
        <v>NO</v>
      </c>
      <c r="C82">
        <f>_xlfn.XLOOKUP(A82,Weather_clean_data!A:A,Weather_clean_data!B:B,0)</f>
        <v>20</v>
      </c>
      <c r="D82">
        <f>_xlfn.XLOOKUP(A82, Weather_clean_data!A:A, Weather_clean_data!C:C, 0)</f>
        <v>0</v>
      </c>
      <c r="E82">
        <f t="shared" si="10"/>
        <v>60</v>
      </c>
      <c r="F82">
        <f t="shared" si="11"/>
        <v>60</v>
      </c>
      <c r="G82">
        <f t="shared" si="12"/>
        <v>0</v>
      </c>
      <c r="H82" s="7">
        <f t="shared" si="13"/>
        <v>0</v>
      </c>
      <c r="I82">
        <f t="shared" si="14"/>
        <v>40</v>
      </c>
      <c r="J82">
        <f t="shared" si="15"/>
        <v>40</v>
      </c>
      <c r="K82">
        <f t="shared" si="16"/>
        <v>0</v>
      </c>
      <c r="L82" s="7">
        <f t="shared" si="17"/>
        <v>0</v>
      </c>
      <c r="M82" t="s">
        <v>17</v>
      </c>
      <c r="N82">
        <v>2024</v>
      </c>
      <c r="O82" t="s">
        <v>26</v>
      </c>
    </row>
    <row r="83" spans="1:15">
      <c r="A83" s="5">
        <v>45433</v>
      </c>
      <c r="B83" s="6" t="str">
        <f t="shared" si="9"/>
        <v>NO</v>
      </c>
      <c r="C83">
        <f>_xlfn.XLOOKUP(A83,Weather_clean_data!A:A,Weather_clean_data!B:B,0)</f>
        <v>16</v>
      </c>
      <c r="D83">
        <f>_xlfn.XLOOKUP(A83, Weather_clean_data!A:A, Weather_clean_data!C:C, 0)</f>
        <v>3.8</v>
      </c>
      <c r="E83">
        <f t="shared" si="10"/>
        <v>60</v>
      </c>
      <c r="F83">
        <f t="shared" si="11"/>
        <v>60</v>
      </c>
      <c r="G83">
        <f t="shared" si="12"/>
        <v>0</v>
      </c>
      <c r="H83" s="7">
        <f t="shared" si="13"/>
        <v>0</v>
      </c>
      <c r="I83">
        <f t="shared" si="14"/>
        <v>40</v>
      </c>
      <c r="J83">
        <f t="shared" si="15"/>
        <v>40</v>
      </c>
      <c r="K83">
        <f t="shared" si="16"/>
        <v>0</v>
      </c>
      <c r="L83" s="7">
        <f t="shared" si="17"/>
        <v>0</v>
      </c>
      <c r="M83" t="s">
        <v>17</v>
      </c>
      <c r="N83">
        <v>2024</v>
      </c>
      <c r="O83" t="s">
        <v>26</v>
      </c>
    </row>
    <row r="84" spans="1:15">
      <c r="A84" s="5">
        <v>45434</v>
      </c>
      <c r="B84" s="6" t="str">
        <f t="shared" si="9"/>
        <v>NO</v>
      </c>
      <c r="C84">
        <f>_xlfn.XLOOKUP(A84,Weather_clean_data!A:A,Weather_clean_data!B:B,0)</f>
        <v>16</v>
      </c>
      <c r="D84">
        <f>_xlfn.XLOOKUP(A84, Weather_clean_data!A:A, Weather_clean_data!C:C, 0)</f>
        <v>21.4</v>
      </c>
      <c r="E84">
        <f t="shared" si="10"/>
        <v>60</v>
      </c>
      <c r="F84">
        <f t="shared" si="11"/>
        <v>18</v>
      </c>
      <c r="G84">
        <f t="shared" si="12"/>
        <v>42</v>
      </c>
      <c r="H84" s="7">
        <f t="shared" si="13"/>
        <v>302.40000000000003</v>
      </c>
      <c r="I84">
        <f t="shared" si="14"/>
        <v>40</v>
      </c>
      <c r="J84">
        <f t="shared" si="15"/>
        <v>12</v>
      </c>
      <c r="K84">
        <f t="shared" si="16"/>
        <v>28</v>
      </c>
      <c r="L84" s="7">
        <f t="shared" si="17"/>
        <v>112</v>
      </c>
      <c r="M84" t="s">
        <v>18</v>
      </c>
      <c r="N84">
        <v>2024</v>
      </c>
      <c r="O84" t="s">
        <v>26</v>
      </c>
    </row>
    <row r="85" spans="1:15">
      <c r="A85" s="5">
        <v>45435</v>
      </c>
      <c r="B85" s="6" t="str">
        <f t="shared" si="9"/>
        <v>NO</v>
      </c>
      <c r="C85">
        <f>_xlfn.XLOOKUP(A85,Weather_clean_data!A:A,Weather_clean_data!B:B,0)</f>
        <v>15</v>
      </c>
      <c r="D85">
        <f>_xlfn.XLOOKUP(A85, Weather_clean_data!A:A, Weather_clean_data!C:C, 0)</f>
        <v>0.2</v>
      </c>
      <c r="E85">
        <f t="shared" si="10"/>
        <v>60</v>
      </c>
      <c r="F85">
        <f t="shared" si="11"/>
        <v>60</v>
      </c>
      <c r="G85">
        <f t="shared" si="12"/>
        <v>0</v>
      </c>
      <c r="H85" s="7">
        <f t="shared" si="13"/>
        <v>0</v>
      </c>
      <c r="I85">
        <f t="shared" si="14"/>
        <v>40</v>
      </c>
      <c r="J85">
        <f t="shared" si="15"/>
        <v>40</v>
      </c>
      <c r="K85">
        <f t="shared" si="16"/>
        <v>0</v>
      </c>
      <c r="L85" s="7">
        <f t="shared" si="17"/>
        <v>0</v>
      </c>
      <c r="M85" t="s">
        <v>17</v>
      </c>
      <c r="N85">
        <v>2024</v>
      </c>
      <c r="O85" t="s">
        <v>26</v>
      </c>
    </row>
    <row r="86" spans="1:15">
      <c r="A86" s="5">
        <v>45436</v>
      </c>
      <c r="B86" s="6" t="str">
        <f t="shared" si="9"/>
        <v>NO</v>
      </c>
      <c r="C86">
        <f>_xlfn.XLOOKUP(A86,Weather_clean_data!A:A,Weather_clean_data!B:B,0)</f>
        <v>16</v>
      </c>
      <c r="D86">
        <f>_xlfn.XLOOKUP(A86, Weather_clean_data!A:A, Weather_clean_data!C:C, 0)</f>
        <v>0</v>
      </c>
      <c r="E86">
        <f t="shared" si="10"/>
        <v>60</v>
      </c>
      <c r="F86">
        <f t="shared" si="11"/>
        <v>60</v>
      </c>
      <c r="G86">
        <f t="shared" si="12"/>
        <v>0</v>
      </c>
      <c r="H86" s="7">
        <f t="shared" si="13"/>
        <v>0</v>
      </c>
      <c r="I86">
        <f t="shared" si="14"/>
        <v>40</v>
      </c>
      <c r="J86">
        <f t="shared" si="15"/>
        <v>40</v>
      </c>
      <c r="K86">
        <f t="shared" si="16"/>
        <v>0</v>
      </c>
      <c r="L86" s="7">
        <f t="shared" si="17"/>
        <v>0</v>
      </c>
      <c r="M86" t="s">
        <v>16</v>
      </c>
      <c r="N86">
        <v>2024</v>
      </c>
      <c r="O86" t="s">
        <v>26</v>
      </c>
    </row>
    <row r="87" spans="1:15">
      <c r="A87" s="5">
        <v>45437</v>
      </c>
      <c r="B87" s="6" t="str">
        <f t="shared" si="9"/>
        <v>YES</v>
      </c>
      <c r="C87">
        <f>_xlfn.XLOOKUP(A87,Weather_clean_data!A:A,Weather_clean_data!B:B,0)</f>
        <v>20</v>
      </c>
      <c r="D87">
        <f>_xlfn.XLOOKUP(A87, Weather_clean_data!A:A, Weather_clean_data!C:C, 0)</f>
        <v>0.2</v>
      </c>
      <c r="E87">
        <f t="shared" si="10"/>
        <v>150</v>
      </c>
      <c r="F87">
        <f t="shared" si="11"/>
        <v>150</v>
      </c>
      <c r="G87">
        <f t="shared" si="12"/>
        <v>0</v>
      </c>
      <c r="H87" s="7">
        <f t="shared" si="13"/>
        <v>0</v>
      </c>
      <c r="I87">
        <f t="shared" si="14"/>
        <v>100</v>
      </c>
      <c r="J87">
        <f t="shared" si="15"/>
        <v>100</v>
      </c>
      <c r="K87">
        <f t="shared" si="16"/>
        <v>0</v>
      </c>
      <c r="L87" s="7">
        <f t="shared" si="17"/>
        <v>0</v>
      </c>
      <c r="M87" t="s">
        <v>16</v>
      </c>
      <c r="N87">
        <v>2024</v>
      </c>
      <c r="O87" t="s">
        <v>26</v>
      </c>
    </row>
    <row r="88" spans="1:15">
      <c r="A88" s="5">
        <v>45438</v>
      </c>
      <c r="B88" s="6" t="str">
        <f t="shared" si="9"/>
        <v>YES</v>
      </c>
      <c r="C88">
        <f>_xlfn.XLOOKUP(A88,Weather_clean_data!A:A,Weather_clean_data!B:B,0)</f>
        <v>19</v>
      </c>
      <c r="D88">
        <f>_xlfn.XLOOKUP(A88, Weather_clean_data!A:A, Weather_clean_data!C:C, 0)</f>
        <v>6.2</v>
      </c>
      <c r="E88">
        <f t="shared" si="10"/>
        <v>150</v>
      </c>
      <c r="F88">
        <f t="shared" si="11"/>
        <v>36</v>
      </c>
      <c r="G88">
        <f t="shared" si="12"/>
        <v>114</v>
      </c>
      <c r="H88" s="7">
        <f t="shared" si="13"/>
        <v>820.80000000000007</v>
      </c>
      <c r="I88">
        <f t="shared" si="14"/>
        <v>100</v>
      </c>
      <c r="J88">
        <f t="shared" si="15"/>
        <v>24</v>
      </c>
      <c r="K88">
        <f t="shared" si="16"/>
        <v>76</v>
      </c>
      <c r="L88" s="7">
        <f t="shared" si="17"/>
        <v>304</v>
      </c>
      <c r="M88" t="s">
        <v>18</v>
      </c>
      <c r="N88">
        <v>2024</v>
      </c>
      <c r="O88" t="s">
        <v>26</v>
      </c>
    </row>
    <row r="89" spans="1:15">
      <c r="A89" s="5">
        <v>45439</v>
      </c>
      <c r="B89" s="6" t="str">
        <f t="shared" si="9"/>
        <v>NO</v>
      </c>
      <c r="C89">
        <f>_xlfn.XLOOKUP(A89,Weather_clean_data!A:A,Weather_clean_data!B:B,0)</f>
        <v>17</v>
      </c>
      <c r="D89">
        <f>_xlfn.XLOOKUP(A89, Weather_clean_data!A:A, Weather_clean_data!C:C, 0)</f>
        <v>1.5</v>
      </c>
      <c r="E89">
        <f t="shared" si="10"/>
        <v>60</v>
      </c>
      <c r="F89">
        <f t="shared" si="11"/>
        <v>60</v>
      </c>
      <c r="G89">
        <f t="shared" si="12"/>
        <v>0</v>
      </c>
      <c r="H89" s="7">
        <f t="shared" si="13"/>
        <v>0</v>
      </c>
      <c r="I89">
        <f t="shared" si="14"/>
        <v>40</v>
      </c>
      <c r="J89">
        <f t="shared" si="15"/>
        <v>40</v>
      </c>
      <c r="K89">
        <f t="shared" si="16"/>
        <v>0</v>
      </c>
      <c r="L89" s="7">
        <f t="shared" si="17"/>
        <v>0</v>
      </c>
      <c r="M89" t="s">
        <v>17</v>
      </c>
      <c r="N89">
        <v>2024</v>
      </c>
      <c r="O89" t="s">
        <v>26</v>
      </c>
    </row>
    <row r="90" spans="1:15">
      <c r="A90" s="5">
        <v>45440</v>
      </c>
      <c r="B90" s="6" t="str">
        <f t="shared" si="9"/>
        <v>NO</v>
      </c>
      <c r="C90">
        <f>_xlfn.XLOOKUP(A90,Weather_clean_data!A:A,Weather_clean_data!B:B,0)</f>
        <v>18</v>
      </c>
      <c r="D90">
        <f>_xlfn.XLOOKUP(A90, Weather_clean_data!A:A, Weather_clean_data!C:C, 0)</f>
        <v>3.6</v>
      </c>
      <c r="E90">
        <f t="shared" si="10"/>
        <v>60</v>
      </c>
      <c r="F90">
        <f t="shared" si="11"/>
        <v>60</v>
      </c>
      <c r="G90">
        <f t="shared" si="12"/>
        <v>0</v>
      </c>
      <c r="H90" s="7">
        <f t="shared" si="13"/>
        <v>0</v>
      </c>
      <c r="I90">
        <f t="shared" si="14"/>
        <v>40</v>
      </c>
      <c r="J90">
        <f t="shared" si="15"/>
        <v>40</v>
      </c>
      <c r="K90">
        <f t="shared" si="16"/>
        <v>0</v>
      </c>
      <c r="L90" s="7">
        <f t="shared" si="17"/>
        <v>0</v>
      </c>
      <c r="M90" t="s">
        <v>17</v>
      </c>
      <c r="N90">
        <v>2024</v>
      </c>
      <c r="O90" t="s">
        <v>26</v>
      </c>
    </row>
    <row r="91" spans="1:15">
      <c r="A91" s="5">
        <v>45441</v>
      </c>
      <c r="B91" s="6" t="str">
        <f t="shared" si="9"/>
        <v>NO</v>
      </c>
      <c r="C91">
        <f>_xlfn.XLOOKUP(A91,Weather_clean_data!A:A,Weather_clean_data!B:B,0)</f>
        <v>18</v>
      </c>
      <c r="D91">
        <f>_xlfn.XLOOKUP(A91, Weather_clean_data!A:A, Weather_clean_data!C:C, 0)</f>
        <v>0.4</v>
      </c>
      <c r="E91">
        <f t="shared" si="10"/>
        <v>60</v>
      </c>
      <c r="F91">
        <f t="shared" si="11"/>
        <v>60</v>
      </c>
      <c r="G91">
        <f t="shared" si="12"/>
        <v>0</v>
      </c>
      <c r="H91" s="7">
        <f t="shared" si="13"/>
        <v>0</v>
      </c>
      <c r="I91">
        <f t="shared" si="14"/>
        <v>40</v>
      </c>
      <c r="J91">
        <f t="shared" si="15"/>
        <v>40</v>
      </c>
      <c r="K91">
        <f t="shared" si="16"/>
        <v>0</v>
      </c>
      <c r="L91" s="7">
        <f t="shared" si="17"/>
        <v>0</v>
      </c>
      <c r="M91" t="s">
        <v>17</v>
      </c>
      <c r="N91">
        <v>2024</v>
      </c>
      <c r="O91" t="s">
        <v>26</v>
      </c>
    </row>
    <row r="92" spans="1:15">
      <c r="A92" s="5">
        <v>45442</v>
      </c>
      <c r="B92" s="6" t="str">
        <f t="shared" si="9"/>
        <v>NO</v>
      </c>
      <c r="C92">
        <f>_xlfn.XLOOKUP(A92,Weather_clean_data!A:A,Weather_clean_data!B:B,0)</f>
        <v>19</v>
      </c>
      <c r="D92">
        <f>_xlfn.XLOOKUP(A92, Weather_clean_data!A:A, Weather_clean_data!C:C, 0)</f>
        <v>0.5</v>
      </c>
      <c r="E92">
        <f t="shared" si="10"/>
        <v>60</v>
      </c>
      <c r="F92">
        <f t="shared" si="11"/>
        <v>60</v>
      </c>
      <c r="G92">
        <f t="shared" si="12"/>
        <v>0</v>
      </c>
      <c r="H92" s="7">
        <f t="shared" si="13"/>
        <v>0</v>
      </c>
      <c r="I92">
        <f t="shared" si="14"/>
        <v>40</v>
      </c>
      <c r="J92">
        <f t="shared" si="15"/>
        <v>40</v>
      </c>
      <c r="K92">
        <f t="shared" si="16"/>
        <v>0</v>
      </c>
      <c r="L92" s="7">
        <f t="shared" si="17"/>
        <v>0</v>
      </c>
      <c r="M92" t="s">
        <v>17</v>
      </c>
      <c r="N92">
        <v>2024</v>
      </c>
      <c r="O92" t="s">
        <v>26</v>
      </c>
    </row>
    <row r="93" spans="1:15">
      <c r="A93" s="5">
        <v>45443</v>
      </c>
      <c r="B93" s="6" t="str">
        <f t="shared" si="9"/>
        <v>NO</v>
      </c>
      <c r="C93">
        <f>_xlfn.XLOOKUP(A93,Weather_clean_data!A:A,Weather_clean_data!B:B,0)</f>
        <v>17</v>
      </c>
      <c r="D93">
        <f>_xlfn.XLOOKUP(A93, Weather_clean_data!A:A, Weather_clean_data!C:C, 0)</f>
        <v>0.1</v>
      </c>
      <c r="E93">
        <f t="shared" si="10"/>
        <v>60</v>
      </c>
      <c r="F93">
        <f t="shared" si="11"/>
        <v>60</v>
      </c>
      <c r="G93">
        <f t="shared" si="12"/>
        <v>0</v>
      </c>
      <c r="H93" s="7">
        <f t="shared" si="13"/>
        <v>0</v>
      </c>
      <c r="I93">
        <f t="shared" si="14"/>
        <v>40</v>
      </c>
      <c r="J93">
        <f t="shared" si="15"/>
        <v>40</v>
      </c>
      <c r="K93">
        <f t="shared" si="16"/>
        <v>0</v>
      </c>
      <c r="L93" s="7">
        <f t="shared" si="17"/>
        <v>0</v>
      </c>
      <c r="M93" t="s">
        <v>16</v>
      </c>
      <c r="N93">
        <v>2024</v>
      </c>
      <c r="O93" t="s">
        <v>26</v>
      </c>
    </row>
    <row r="94" spans="1:15">
      <c r="A94" s="5">
        <v>45444</v>
      </c>
      <c r="B94" s="6" t="str">
        <f t="shared" si="9"/>
        <v>YES</v>
      </c>
      <c r="C94">
        <f>_xlfn.XLOOKUP(A94,Weather_clean_data!A:A,Weather_clean_data!B:B,0)</f>
        <v>18</v>
      </c>
      <c r="D94">
        <f>_xlfn.XLOOKUP(A94, Weather_clean_data!A:A, Weather_clean_data!C:C, 0)</f>
        <v>0</v>
      </c>
      <c r="E94">
        <f t="shared" si="10"/>
        <v>150</v>
      </c>
      <c r="F94">
        <f t="shared" si="11"/>
        <v>150</v>
      </c>
      <c r="G94">
        <f t="shared" si="12"/>
        <v>0</v>
      </c>
      <c r="H94" s="7">
        <f t="shared" si="13"/>
        <v>0</v>
      </c>
      <c r="I94">
        <f t="shared" si="14"/>
        <v>100</v>
      </c>
      <c r="J94">
        <f t="shared" si="15"/>
        <v>100</v>
      </c>
      <c r="K94">
        <f t="shared" si="16"/>
        <v>0</v>
      </c>
      <c r="L94" s="7">
        <f t="shared" si="17"/>
        <v>0</v>
      </c>
      <c r="M94" t="s">
        <v>16</v>
      </c>
      <c r="N94">
        <v>2024</v>
      </c>
      <c r="O94" t="s">
        <v>27</v>
      </c>
    </row>
    <row r="95" spans="1:15">
      <c r="A95" s="5">
        <v>45445</v>
      </c>
      <c r="B95" s="6" t="str">
        <f t="shared" si="9"/>
        <v>YES</v>
      </c>
      <c r="C95">
        <f>_xlfn.XLOOKUP(A95,Weather_clean_data!A:A,Weather_clean_data!B:B,0)</f>
        <v>24</v>
      </c>
      <c r="D95">
        <f>_xlfn.XLOOKUP(A95, Weather_clean_data!A:A, Weather_clean_data!C:C, 0)</f>
        <v>0</v>
      </c>
      <c r="E95">
        <f t="shared" si="10"/>
        <v>150</v>
      </c>
      <c r="F95">
        <f t="shared" si="11"/>
        <v>150</v>
      </c>
      <c r="G95">
        <f t="shared" si="12"/>
        <v>0</v>
      </c>
      <c r="H95" s="7">
        <f t="shared" si="13"/>
        <v>0</v>
      </c>
      <c r="I95">
        <f t="shared" si="14"/>
        <v>100</v>
      </c>
      <c r="J95">
        <f t="shared" si="15"/>
        <v>100</v>
      </c>
      <c r="K95">
        <f t="shared" si="16"/>
        <v>0</v>
      </c>
      <c r="L95" s="7">
        <f t="shared" si="17"/>
        <v>0</v>
      </c>
      <c r="M95" t="s">
        <v>16</v>
      </c>
      <c r="N95">
        <v>2024</v>
      </c>
      <c r="O95" t="s">
        <v>27</v>
      </c>
    </row>
    <row r="96" spans="1:15">
      <c r="A96" s="5">
        <v>45446</v>
      </c>
      <c r="B96" s="6" t="str">
        <f t="shared" si="9"/>
        <v>NO</v>
      </c>
      <c r="C96">
        <f>_xlfn.XLOOKUP(A96,Weather_clean_data!A:A,Weather_clean_data!B:B,0)</f>
        <v>21</v>
      </c>
      <c r="D96">
        <f>_xlfn.XLOOKUP(A96, Weather_clean_data!A:A, Weather_clean_data!C:C, 0)</f>
        <v>0</v>
      </c>
      <c r="E96">
        <f t="shared" si="10"/>
        <v>60</v>
      </c>
      <c r="F96">
        <f t="shared" si="11"/>
        <v>60</v>
      </c>
      <c r="G96">
        <f t="shared" si="12"/>
        <v>0</v>
      </c>
      <c r="H96" s="7">
        <f t="shared" si="13"/>
        <v>0</v>
      </c>
      <c r="I96">
        <f t="shared" si="14"/>
        <v>40</v>
      </c>
      <c r="J96">
        <f t="shared" si="15"/>
        <v>40</v>
      </c>
      <c r="K96">
        <f t="shared" si="16"/>
        <v>0</v>
      </c>
      <c r="L96" s="7">
        <f t="shared" si="17"/>
        <v>0</v>
      </c>
      <c r="M96" t="s">
        <v>17</v>
      </c>
      <c r="N96">
        <v>2024</v>
      </c>
      <c r="O96" t="s">
        <v>27</v>
      </c>
    </row>
    <row r="97" spans="1:15">
      <c r="A97" s="5">
        <v>45447</v>
      </c>
      <c r="B97" s="6" t="str">
        <f t="shared" si="9"/>
        <v>NO</v>
      </c>
      <c r="C97">
        <f>_xlfn.XLOOKUP(A97,Weather_clean_data!A:A,Weather_clean_data!B:B,0)</f>
        <v>17</v>
      </c>
      <c r="D97">
        <f>_xlfn.XLOOKUP(A97, Weather_clean_data!A:A, Weather_clean_data!C:C, 0)</f>
        <v>0.9</v>
      </c>
      <c r="E97">
        <f t="shared" si="10"/>
        <v>60</v>
      </c>
      <c r="F97">
        <f t="shared" si="11"/>
        <v>60</v>
      </c>
      <c r="G97">
        <f t="shared" si="12"/>
        <v>0</v>
      </c>
      <c r="H97" s="7">
        <f t="shared" si="13"/>
        <v>0</v>
      </c>
      <c r="I97">
        <f t="shared" si="14"/>
        <v>40</v>
      </c>
      <c r="J97">
        <f t="shared" si="15"/>
        <v>40</v>
      </c>
      <c r="K97">
        <f t="shared" si="16"/>
        <v>0</v>
      </c>
      <c r="L97" s="7">
        <f t="shared" si="17"/>
        <v>0</v>
      </c>
      <c r="M97" t="s">
        <v>17</v>
      </c>
      <c r="N97">
        <v>2024</v>
      </c>
      <c r="O97" t="s">
        <v>27</v>
      </c>
    </row>
    <row r="98" spans="1:15">
      <c r="A98" s="5">
        <v>45448</v>
      </c>
      <c r="B98" s="6" t="str">
        <f t="shared" si="9"/>
        <v>NO</v>
      </c>
      <c r="C98">
        <f>_xlfn.XLOOKUP(A98,Weather_clean_data!A:A,Weather_clean_data!B:B,0)</f>
        <v>16</v>
      </c>
      <c r="D98">
        <f>_xlfn.XLOOKUP(A98, Weather_clean_data!A:A, Weather_clean_data!C:C, 0)</f>
        <v>0</v>
      </c>
      <c r="E98">
        <f t="shared" si="10"/>
        <v>60</v>
      </c>
      <c r="F98">
        <f t="shared" si="11"/>
        <v>60</v>
      </c>
      <c r="G98">
        <f t="shared" si="12"/>
        <v>0</v>
      </c>
      <c r="H98" s="7">
        <f t="shared" si="13"/>
        <v>0</v>
      </c>
      <c r="I98">
        <f t="shared" si="14"/>
        <v>40</v>
      </c>
      <c r="J98">
        <f t="shared" si="15"/>
        <v>40</v>
      </c>
      <c r="K98">
        <f t="shared" si="16"/>
        <v>0</v>
      </c>
      <c r="L98" s="7">
        <f t="shared" si="17"/>
        <v>0</v>
      </c>
      <c r="M98" t="s">
        <v>17</v>
      </c>
      <c r="N98">
        <v>2024</v>
      </c>
      <c r="O98" t="s">
        <v>27</v>
      </c>
    </row>
    <row r="99" spans="1:15">
      <c r="A99" s="5">
        <v>45449</v>
      </c>
      <c r="B99" s="6" t="str">
        <f t="shared" si="9"/>
        <v>NO</v>
      </c>
      <c r="C99">
        <f>_xlfn.XLOOKUP(A99,Weather_clean_data!A:A,Weather_clean_data!B:B,0)</f>
        <v>19</v>
      </c>
      <c r="D99">
        <f>_xlfn.XLOOKUP(A99, Weather_clean_data!A:A, Weather_clean_data!C:C, 0)</f>
        <v>0.2</v>
      </c>
      <c r="E99">
        <f t="shared" si="10"/>
        <v>60</v>
      </c>
      <c r="F99">
        <f t="shared" si="11"/>
        <v>60</v>
      </c>
      <c r="G99">
        <f t="shared" si="12"/>
        <v>0</v>
      </c>
      <c r="H99" s="7">
        <f t="shared" si="13"/>
        <v>0</v>
      </c>
      <c r="I99">
        <f t="shared" si="14"/>
        <v>40</v>
      </c>
      <c r="J99">
        <f t="shared" si="15"/>
        <v>40</v>
      </c>
      <c r="K99">
        <f t="shared" si="16"/>
        <v>0</v>
      </c>
      <c r="L99" s="7">
        <f t="shared" si="17"/>
        <v>0</v>
      </c>
      <c r="M99" t="s">
        <v>17</v>
      </c>
      <c r="N99">
        <v>2024</v>
      </c>
      <c r="O99" t="s">
        <v>27</v>
      </c>
    </row>
    <row r="100" spans="1:15">
      <c r="A100" s="5">
        <v>45450</v>
      </c>
      <c r="B100" s="6" t="str">
        <f t="shared" si="9"/>
        <v>NO</v>
      </c>
      <c r="C100">
        <f>_xlfn.XLOOKUP(A100,Weather_clean_data!A:A,Weather_clean_data!B:B,0)</f>
        <v>19</v>
      </c>
      <c r="D100">
        <f>_xlfn.XLOOKUP(A100, Weather_clean_data!A:A, Weather_clean_data!C:C, 0)</f>
        <v>0.1</v>
      </c>
      <c r="E100">
        <f t="shared" si="10"/>
        <v>60</v>
      </c>
      <c r="F100">
        <f t="shared" si="11"/>
        <v>60</v>
      </c>
      <c r="G100">
        <f t="shared" si="12"/>
        <v>0</v>
      </c>
      <c r="H100" s="7">
        <f t="shared" si="13"/>
        <v>0</v>
      </c>
      <c r="I100">
        <f t="shared" si="14"/>
        <v>40</v>
      </c>
      <c r="J100">
        <f t="shared" si="15"/>
        <v>40</v>
      </c>
      <c r="K100">
        <f t="shared" si="16"/>
        <v>0</v>
      </c>
      <c r="L100" s="7">
        <f t="shared" si="17"/>
        <v>0</v>
      </c>
      <c r="M100" t="s">
        <v>16</v>
      </c>
      <c r="N100">
        <v>2024</v>
      </c>
      <c r="O100" t="s">
        <v>27</v>
      </c>
    </row>
    <row r="101" spans="1:15">
      <c r="A101" s="5">
        <v>45451</v>
      </c>
      <c r="B101" s="6" t="str">
        <f t="shared" si="9"/>
        <v>YES</v>
      </c>
      <c r="C101">
        <f>_xlfn.XLOOKUP(A101,Weather_clean_data!A:A,Weather_clean_data!B:B,0)</f>
        <v>19</v>
      </c>
      <c r="D101">
        <f>_xlfn.XLOOKUP(A101, Weather_clean_data!A:A, Weather_clean_data!C:C, 0)</f>
        <v>0.1</v>
      </c>
      <c r="E101">
        <f t="shared" si="10"/>
        <v>150</v>
      </c>
      <c r="F101">
        <f t="shared" si="11"/>
        <v>150</v>
      </c>
      <c r="G101">
        <f t="shared" si="12"/>
        <v>0</v>
      </c>
      <c r="H101" s="7">
        <f t="shared" si="13"/>
        <v>0</v>
      </c>
      <c r="I101">
        <f t="shared" si="14"/>
        <v>100</v>
      </c>
      <c r="J101">
        <f t="shared" si="15"/>
        <v>100</v>
      </c>
      <c r="K101">
        <f t="shared" si="16"/>
        <v>0</v>
      </c>
      <c r="L101" s="7">
        <f t="shared" si="17"/>
        <v>0</v>
      </c>
      <c r="M101" t="s">
        <v>16</v>
      </c>
      <c r="N101">
        <v>2024</v>
      </c>
      <c r="O101" t="s">
        <v>27</v>
      </c>
    </row>
    <row r="102" spans="1:15">
      <c r="A102" s="5">
        <v>45452</v>
      </c>
      <c r="B102" s="6" t="str">
        <f t="shared" si="9"/>
        <v>YES</v>
      </c>
      <c r="C102">
        <f>_xlfn.XLOOKUP(A102,Weather_clean_data!A:A,Weather_clean_data!B:B,0)</f>
        <v>16</v>
      </c>
      <c r="D102">
        <f>_xlfn.XLOOKUP(A102, Weather_clean_data!A:A, Weather_clean_data!C:C, 0)</f>
        <v>0</v>
      </c>
      <c r="E102">
        <f t="shared" si="10"/>
        <v>150</v>
      </c>
      <c r="F102">
        <f t="shared" si="11"/>
        <v>150</v>
      </c>
      <c r="G102">
        <f t="shared" si="12"/>
        <v>0</v>
      </c>
      <c r="H102" s="7">
        <f t="shared" si="13"/>
        <v>0</v>
      </c>
      <c r="I102">
        <f t="shared" si="14"/>
        <v>100</v>
      </c>
      <c r="J102">
        <f t="shared" si="15"/>
        <v>100</v>
      </c>
      <c r="K102">
        <f t="shared" si="16"/>
        <v>0</v>
      </c>
      <c r="L102" s="7">
        <f t="shared" si="17"/>
        <v>0</v>
      </c>
      <c r="M102" t="s">
        <v>16</v>
      </c>
      <c r="N102">
        <v>2024</v>
      </c>
      <c r="O102" t="s">
        <v>27</v>
      </c>
    </row>
    <row r="103" spans="1:15">
      <c r="A103" s="5">
        <v>45453</v>
      </c>
      <c r="B103" s="6" t="str">
        <f t="shared" si="9"/>
        <v>NO</v>
      </c>
      <c r="C103">
        <f>_xlfn.XLOOKUP(A103,Weather_clean_data!A:A,Weather_clean_data!B:B,0)</f>
        <v>17</v>
      </c>
      <c r="D103">
        <f>_xlfn.XLOOKUP(A103, Weather_clean_data!A:A, Weather_clean_data!C:C, 0)</f>
        <v>0.9</v>
      </c>
      <c r="E103">
        <f t="shared" si="10"/>
        <v>60</v>
      </c>
      <c r="F103">
        <f t="shared" si="11"/>
        <v>60</v>
      </c>
      <c r="G103">
        <f t="shared" si="12"/>
        <v>0</v>
      </c>
      <c r="H103" s="7">
        <f t="shared" si="13"/>
        <v>0</v>
      </c>
      <c r="I103">
        <f t="shared" si="14"/>
        <v>40</v>
      </c>
      <c r="J103">
        <f t="shared" si="15"/>
        <v>40</v>
      </c>
      <c r="K103">
        <f t="shared" si="16"/>
        <v>0</v>
      </c>
      <c r="L103" s="7">
        <f t="shared" si="17"/>
        <v>0</v>
      </c>
      <c r="M103" t="s">
        <v>17</v>
      </c>
      <c r="N103">
        <v>2024</v>
      </c>
      <c r="O103" t="s">
        <v>27</v>
      </c>
    </row>
    <row r="104" spans="1:15">
      <c r="A104" s="5">
        <v>45454</v>
      </c>
      <c r="B104" s="6" t="str">
        <f t="shared" si="9"/>
        <v>NO</v>
      </c>
      <c r="C104">
        <f>_xlfn.XLOOKUP(A104,Weather_clean_data!A:A,Weather_clean_data!B:B,0)</f>
        <v>16</v>
      </c>
      <c r="D104">
        <f>_xlfn.XLOOKUP(A104, Weather_clean_data!A:A, Weather_clean_data!C:C, 0)</f>
        <v>0.5</v>
      </c>
      <c r="E104">
        <f t="shared" si="10"/>
        <v>60</v>
      </c>
      <c r="F104">
        <f t="shared" si="11"/>
        <v>60</v>
      </c>
      <c r="G104">
        <f t="shared" si="12"/>
        <v>0</v>
      </c>
      <c r="H104" s="7">
        <f t="shared" si="13"/>
        <v>0</v>
      </c>
      <c r="I104">
        <f t="shared" si="14"/>
        <v>40</v>
      </c>
      <c r="J104">
        <f t="shared" si="15"/>
        <v>40</v>
      </c>
      <c r="K104">
        <f t="shared" si="16"/>
        <v>0</v>
      </c>
      <c r="L104" s="7">
        <f t="shared" si="17"/>
        <v>0</v>
      </c>
      <c r="M104" t="s">
        <v>17</v>
      </c>
      <c r="N104">
        <v>2024</v>
      </c>
      <c r="O104" t="s">
        <v>27</v>
      </c>
    </row>
    <row r="105" spans="1:15">
      <c r="A105" s="5">
        <v>45455</v>
      </c>
      <c r="B105" s="6" t="str">
        <f t="shared" si="9"/>
        <v>NO</v>
      </c>
      <c r="C105">
        <f>_xlfn.XLOOKUP(A105,Weather_clean_data!A:A,Weather_clean_data!B:B,0)</f>
        <v>17</v>
      </c>
      <c r="D105">
        <f>_xlfn.XLOOKUP(A105, Weather_clean_data!A:A, Weather_clean_data!C:C, 0)</f>
        <v>0</v>
      </c>
      <c r="E105">
        <f t="shared" si="10"/>
        <v>60</v>
      </c>
      <c r="F105">
        <f t="shared" si="11"/>
        <v>60</v>
      </c>
      <c r="G105">
        <f t="shared" si="12"/>
        <v>0</v>
      </c>
      <c r="H105" s="7">
        <f t="shared" si="13"/>
        <v>0</v>
      </c>
      <c r="I105">
        <f t="shared" si="14"/>
        <v>40</v>
      </c>
      <c r="J105">
        <f t="shared" si="15"/>
        <v>40</v>
      </c>
      <c r="K105">
        <f t="shared" si="16"/>
        <v>0</v>
      </c>
      <c r="L105" s="7">
        <f t="shared" si="17"/>
        <v>0</v>
      </c>
      <c r="M105" t="s">
        <v>17</v>
      </c>
      <c r="N105">
        <v>2024</v>
      </c>
      <c r="O105" t="s">
        <v>27</v>
      </c>
    </row>
    <row r="106" spans="1:15">
      <c r="A106" s="5">
        <v>45456</v>
      </c>
      <c r="B106" s="6" t="str">
        <f t="shared" si="9"/>
        <v>NO</v>
      </c>
      <c r="C106">
        <f>_xlfn.XLOOKUP(A106,Weather_clean_data!A:A,Weather_clean_data!B:B,0)</f>
        <v>15</v>
      </c>
      <c r="D106">
        <f>_xlfn.XLOOKUP(A106, Weather_clean_data!A:A, Weather_clean_data!C:C, 0)</f>
        <v>1.8</v>
      </c>
      <c r="E106">
        <f t="shared" si="10"/>
        <v>60</v>
      </c>
      <c r="F106">
        <f t="shared" si="11"/>
        <v>60</v>
      </c>
      <c r="G106">
        <f t="shared" si="12"/>
        <v>0</v>
      </c>
      <c r="H106" s="7">
        <f t="shared" si="13"/>
        <v>0</v>
      </c>
      <c r="I106">
        <f t="shared" si="14"/>
        <v>40</v>
      </c>
      <c r="J106">
        <f t="shared" si="15"/>
        <v>40</v>
      </c>
      <c r="K106">
        <f t="shared" si="16"/>
        <v>0</v>
      </c>
      <c r="L106" s="7">
        <f t="shared" si="17"/>
        <v>0</v>
      </c>
      <c r="M106" t="s">
        <v>17</v>
      </c>
      <c r="N106">
        <v>2024</v>
      </c>
      <c r="O106" t="s">
        <v>27</v>
      </c>
    </row>
    <row r="107" spans="1:15">
      <c r="A107" s="5">
        <v>45457</v>
      </c>
      <c r="B107" s="6" t="str">
        <f t="shared" si="9"/>
        <v>NO</v>
      </c>
      <c r="C107">
        <f>_xlfn.XLOOKUP(A107,Weather_clean_data!A:A,Weather_clean_data!B:B,0)</f>
        <v>18</v>
      </c>
      <c r="D107">
        <f>_xlfn.XLOOKUP(A107, Weather_clean_data!A:A, Weather_clean_data!C:C, 0)</f>
        <v>4.9000000000000004</v>
      </c>
      <c r="E107">
        <f t="shared" si="10"/>
        <v>60</v>
      </c>
      <c r="F107">
        <f t="shared" si="11"/>
        <v>60</v>
      </c>
      <c r="G107">
        <f t="shared" si="12"/>
        <v>0</v>
      </c>
      <c r="H107" s="7">
        <f t="shared" si="13"/>
        <v>0</v>
      </c>
      <c r="I107">
        <f t="shared" si="14"/>
        <v>40</v>
      </c>
      <c r="J107">
        <f t="shared" si="15"/>
        <v>40</v>
      </c>
      <c r="K107">
        <f t="shared" si="16"/>
        <v>0</v>
      </c>
      <c r="L107" s="7">
        <f t="shared" si="17"/>
        <v>0</v>
      </c>
      <c r="M107" t="s">
        <v>16</v>
      </c>
      <c r="N107">
        <v>2024</v>
      </c>
      <c r="O107" t="s">
        <v>27</v>
      </c>
    </row>
    <row r="108" spans="1:15">
      <c r="A108" s="5">
        <v>45458</v>
      </c>
      <c r="B108" s="6" t="str">
        <f t="shared" si="9"/>
        <v>YES</v>
      </c>
      <c r="C108">
        <f>_xlfn.XLOOKUP(A108,Weather_clean_data!A:A,Weather_clean_data!B:B,0)</f>
        <v>16</v>
      </c>
      <c r="D108">
        <f>_xlfn.XLOOKUP(A108, Weather_clean_data!A:A, Weather_clean_data!C:C, 0)</f>
        <v>3.7</v>
      </c>
      <c r="E108">
        <f t="shared" si="10"/>
        <v>150</v>
      </c>
      <c r="F108">
        <f t="shared" si="11"/>
        <v>150</v>
      </c>
      <c r="G108">
        <f t="shared" si="12"/>
        <v>0</v>
      </c>
      <c r="H108" s="7">
        <f t="shared" si="13"/>
        <v>0</v>
      </c>
      <c r="I108">
        <f t="shared" si="14"/>
        <v>100</v>
      </c>
      <c r="J108">
        <f t="shared" si="15"/>
        <v>100</v>
      </c>
      <c r="K108">
        <f t="shared" si="16"/>
        <v>0</v>
      </c>
      <c r="L108" s="7">
        <f t="shared" si="17"/>
        <v>0</v>
      </c>
      <c r="M108" t="s">
        <v>16</v>
      </c>
      <c r="N108">
        <v>2024</v>
      </c>
      <c r="O108" t="s">
        <v>27</v>
      </c>
    </row>
    <row r="109" spans="1:15">
      <c r="A109" s="5">
        <v>45459</v>
      </c>
      <c r="B109" s="6" t="str">
        <f t="shared" si="9"/>
        <v>YES</v>
      </c>
      <c r="C109">
        <f>_xlfn.XLOOKUP(A109,Weather_clean_data!A:A,Weather_clean_data!B:B,0)</f>
        <v>19</v>
      </c>
      <c r="D109">
        <f>_xlfn.XLOOKUP(A109, Weather_clean_data!A:A, Weather_clean_data!C:C, 0)</f>
        <v>2.9</v>
      </c>
      <c r="E109">
        <f t="shared" si="10"/>
        <v>150</v>
      </c>
      <c r="F109">
        <f t="shared" si="11"/>
        <v>150</v>
      </c>
      <c r="G109">
        <f t="shared" si="12"/>
        <v>0</v>
      </c>
      <c r="H109" s="7">
        <f t="shared" si="13"/>
        <v>0</v>
      </c>
      <c r="I109">
        <f t="shared" si="14"/>
        <v>100</v>
      </c>
      <c r="J109">
        <f t="shared" si="15"/>
        <v>100</v>
      </c>
      <c r="K109">
        <f t="shared" si="16"/>
        <v>0</v>
      </c>
      <c r="L109" s="7">
        <f t="shared" si="17"/>
        <v>0</v>
      </c>
      <c r="M109" t="s">
        <v>16</v>
      </c>
      <c r="N109">
        <v>2024</v>
      </c>
      <c r="O109" t="s">
        <v>27</v>
      </c>
    </row>
    <row r="110" spans="1:15">
      <c r="A110" s="5">
        <v>45460</v>
      </c>
      <c r="B110" s="6" t="str">
        <f t="shared" si="9"/>
        <v>NO</v>
      </c>
      <c r="C110">
        <f>_xlfn.XLOOKUP(A110,Weather_clean_data!A:A,Weather_clean_data!B:B,0)</f>
        <v>20</v>
      </c>
      <c r="D110">
        <f>_xlfn.XLOOKUP(A110, Weather_clean_data!A:A, Weather_clean_data!C:C, 0)</f>
        <v>0.5</v>
      </c>
      <c r="E110">
        <f t="shared" si="10"/>
        <v>60</v>
      </c>
      <c r="F110">
        <f t="shared" si="11"/>
        <v>60</v>
      </c>
      <c r="G110">
        <f t="shared" si="12"/>
        <v>0</v>
      </c>
      <c r="H110" s="7">
        <f t="shared" si="13"/>
        <v>0</v>
      </c>
      <c r="I110">
        <f t="shared" si="14"/>
        <v>40</v>
      </c>
      <c r="J110">
        <f t="shared" si="15"/>
        <v>40</v>
      </c>
      <c r="K110">
        <f t="shared" si="16"/>
        <v>0</v>
      </c>
      <c r="L110" s="7">
        <f t="shared" si="17"/>
        <v>0</v>
      </c>
      <c r="M110" t="s">
        <v>17</v>
      </c>
      <c r="N110">
        <v>2024</v>
      </c>
      <c r="O110" t="s">
        <v>27</v>
      </c>
    </row>
    <row r="111" spans="1:15">
      <c r="A111" s="5">
        <v>45461</v>
      </c>
      <c r="B111" s="6" t="str">
        <f t="shared" si="9"/>
        <v>NO</v>
      </c>
      <c r="C111">
        <f>_xlfn.XLOOKUP(A111,Weather_clean_data!A:A,Weather_clean_data!B:B,0)</f>
        <v>18</v>
      </c>
      <c r="D111">
        <f>_xlfn.XLOOKUP(A111, Weather_clean_data!A:A, Weather_clean_data!C:C, 0)</f>
        <v>0</v>
      </c>
      <c r="E111">
        <f t="shared" si="10"/>
        <v>60</v>
      </c>
      <c r="F111">
        <f t="shared" si="11"/>
        <v>60</v>
      </c>
      <c r="G111">
        <f t="shared" si="12"/>
        <v>0</v>
      </c>
      <c r="H111" s="7">
        <f t="shared" si="13"/>
        <v>0</v>
      </c>
      <c r="I111">
        <f t="shared" si="14"/>
        <v>40</v>
      </c>
      <c r="J111">
        <f t="shared" si="15"/>
        <v>40</v>
      </c>
      <c r="K111">
        <f t="shared" si="16"/>
        <v>0</v>
      </c>
      <c r="L111" s="7">
        <f t="shared" si="17"/>
        <v>0</v>
      </c>
      <c r="M111" t="s">
        <v>17</v>
      </c>
      <c r="N111">
        <v>2024</v>
      </c>
      <c r="O111" t="s">
        <v>27</v>
      </c>
    </row>
    <row r="112" spans="1:15">
      <c r="A112" s="5">
        <v>45462</v>
      </c>
      <c r="B112" s="6" t="str">
        <f t="shared" si="9"/>
        <v>NO</v>
      </c>
      <c r="C112">
        <f>_xlfn.XLOOKUP(A112,Weather_clean_data!A:A,Weather_clean_data!B:B,0)</f>
        <v>21</v>
      </c>
      <c r="D112">
        <f>_xlfn.XLOOKUP(A112, Weather_clean_data!A:A, Weather_clean_data!C:C, 0)</f>
        <v>0</v>
      </c>
      <c r="E112">
        <f t="shared" si="10"/>
        <v>60</v>
      </c>
      <c r="F112">
        <f t="shared" si="11"/>
        <v>60</v>
      </c>
      <c r="G112">
        <f t="shared" si="12"/>
        <v>0</v>
      </c>
      <c r="H112" s="7">
        <f t="shared" si="13"/>
        <v>0</v>
      </c>
      <c r="I112">
        <f t="shared" si="14"/>
        <v>40</v>
      </c>
      <c r="J112">
        <f t="shared" si="15"/>
        <v>40</v>
      </c>
      <c r="K112">
        <f t="shared" si="16"/>
        <v>0</v>
      </c>
      <c r="L112" s="7">
        <f t="shared" si="17"/>
        <v>0</v>
      </c>
      <c r="M112" t="s">
        <v>17</v>
      </c>
      <c r="N112">
        <v>2024</v>
      </c>
      <c r="O112" t="s">
        <v>27</v>
      </c>
    </row>
    <row r="113" spans="1:15">
      <c r="A113" s="5">
        <v>45463</v>
      </c>
      <c r="B113" s="6" t="str">
        <f t="shared" si="9"/>
        <v>NO</v>
      </c>
      <c r="C113">
        <f>_xlfn.XLOOKUP(A113,Weather_clean_data!A:A,Weather_clean_data!B:B,0)</f>
        <v>22</v>
      </c>
      <c r="D113">
        <f>_xlfn.XLOOKUP(A113, Weather_clean_data!A:A, Weather_clean_data!C:C, 0)</f>
        <v>0</v>
      </c>
      <c r="E113">
        <f t="shared" si="10"/>
        <v>60</v>
      </c>
      <c r="F113">
        <f t="shared" si="11"/>
        <v>60</v>
      </c>
      <c r="G113">
        <f t="shared" si="12"/>
        <v>0</v>
      </c>
      <c r="H113" s="7">
        <f t="shared" si="13"/>
        <v>0</v>
      </c>
      <c r="I113">
        <f t="shared" si="14"/>
        <v>40</v>
      </c>
      <c r="J113">
        <f t="shared" si="15"/>
        <v>40</v>
      </c>
      <c r="K113">
        <f t="shared" si="16"/>
        <v>0</v>
      </c>
      <c r="L113" s="7">
        <f t="shared" si="17"/>
        <v>0</v>
      </c>
      <c r="M113" t="s">
        <v>17</v>
      </c>
      <c r="N113">
        <v>2024</v>
      </c>
      <c r="O113" t="s">
        <v>27</v>
      </c>
    </row>
    <row r="114" spans="1:15">
      <c r="A114" s="5">
        <v>45464</v>
      </c>
      <c r="B114" s="6" t="str">
        <f t="shared" si="9"/>
        <v>NO</v>
      </c>
      <c r="C114">
        <f>_xlfn.XLOOKUP(A114,Weather_clean_data!A:A,Weather_clean_data!B:B,0)</f>
        <v>21</v>
      </c>
      <c r="D114">
        <f>_xlfn.XLOOKUP(A114, Weather_clean_data!A:A, Weather_clean_data!C:C, 0)</f>
        <v>0.5</v>
      </c>
      <c r="E114">
        <f t="shared" si="10"/>
        <v>60</v>
      </c>
      <c r="F114">
        <f t="shared" si="11"/>
        <v>60</v>
      </c>
      <c r="G114">
        <f t="shared" si="12"/>
        <v>0</v>
      </c>
      <c r="H114" s="7">
        <f t="shared" si="13"/>
        <v>0</v>
      </c>
      <c r="I114">
        <f t="shared" si="14"/>
        <v>40</v>
      </c>
      <c r="J114">
        <f t="shared" si="15"/>
        <v>40</v>
      </c>
      <c r="K114">
        <f t="shared" si="16"/>
        <v>0</v>
      </c>
      <c r="L114" s="7">
        <f t="shared" si="17"/>
        <v>0</v>
      </c>
      <c r="M114" t="s">
        <v>16</v>
      </c>
      <c r="N114">
        <v>2024</v>
      </c>
      <c r="O114" t="s">
        <v>27</v>
      </c>
    </row>
    <row r="115" spans="1:15">
      <c r="A115" s="5">
        <v>45465</v>
      </c>
      <c r="B115" s="6" t="str">
        <f t="shared" si="9"/>
        <v>YES</v>
      </c>
      <c r="C115">
        <f>_xlfn.XLOOKUP(A115,Weather_clean_data!A:A,Weather_clean_data!B:B,0)</f>
        <v>20</v>
      </c>
      <c r="D115">
        <f>_xlfn.XLOOKUP(A115, Weather_clean_data!A:A, Weather_clean_data!C:C, 0)</f>
        <v>0.1</v>
      </c>
      <c r="E115">
        <f t="shared" si="10"/>
        <v>150</v>
      </c>
      <c r="F115">
        <f t="shared" si="11"/>
        <v>150</v>
      </c>
      <c r="G115">
        <f t="shared" si="12"/>
        <v>0</v>
      </c>
      <c r="H115" s="7">
        <f t="shared" si="13"/>
        <v>0</v>
      </c>
      <c r="I115">
        <f t="shared" si="14"/>
        <v>100</v>
      </c>
      <c r="J115">
        <f t="shared" si="15"/>
        <v>100</v>
      </c>
      <c r="K115">
        <f t="shared" si="16"/>
        <v>0</v>
      </c>
      <c r="L115" s="7">
        <f t="shared" si="17"/>
        <v>0</v>
      </c>
      <c r="M115" t="s">
        <v>16</v>
      </c>
      <c r="N115">
        <v>2024</v>
      </c>
      <c r="O115" t="s">
        <v>27</v>
      </c>
    </row>
    <row r="116" spans="1:15">
      <c r="A116" s="5">
        <v>45466</v>
      </c>
      <c r="B116" s="6" t="str">
        <f t="shared" si="9"/>
        <v>YES</v>
      </c>
      <c r="C116">
        <f>_xlfn.XLOOKUP(A116,Weather_clean_data!A:A,Weather_clean_data!B:B,0)</f>
        <v>24</v>
      </c>
      <c r="D116">
        <f>_xlfn.XLOOKUP(A116, Weather_clean_data!A:A, Weather_clean_data!C:C, 0)</f>
        <v>0</v>
      </c>
      <c r="E116">
        <f t="shared" si="10"/>
        <v>150</v>
      </c>
      <c r="F116">
        <f t="shared" si="11"/>
        <v>150</v>
      </c>
      <c r="G116">
        <f t="shared" si="12"/>
        <v>0</v>
      </c>
      <c r="H116" s="7">
        <f t="shared" si="13"/>
        <v>0</v>
      </c>
      <c r="I116">
        <f t="shared" si="14"/>
        <v>100</v>
      </c>
      <c r="J116">
        <f t="shared" si="15"/>
        <v>100</v>
      </c>
      <c r="K116">
        <f t="shared" si="16"/>
        <v>0</v>
      </c>
      <c r="L116" s="7">
        <f t="shared" si="17"/>
        <v>0</v>
      </c>
      <c r="M116" t="s">
        <v>16</v>
      </c>
      <c r="N116">
        <v>2024</v>
      </c>
      <c r="O116" t="s">
        <v>27</v>
      </c>
    </row>
    <row r="117" spans="1:15">
      <c r="A117" s="5">
        <v>45467</v>
      </c>
      <c r="B117" s="6" t="str">
        <f t="shared" si="9"/>
        <v>NO</v>
      </c>
      <c r="C117">
        <f>_xlfn.XLOOKUP(A117,Weather_clean_data!A:A,Weather_clean_data!B:B,0)</f>
        <v>23</v>
      </c>
      <c r="D117">
        <f>_xlfn.XLOOKUP(A117, Weather_clean_data!A:A, Weather_clean_data!C:C, 0)</f>
        <v>0</v>
      </c>
      <c r="E117">
        <f t="shared" si="10"/>
        <v>60</v>
      </c>
      <c r="F117">
        <f t="shared" si="11"/>
        <v>60</v>
      </c>
      <c r="G117">
        <f t="shared" si="12"/>
        <v>0</v>
      </c>
      <c r="H117" s="7">
        <f t="shared" si="13"/>
        <v>0</v>
      </c>
      <c r="I117">
        <f t="shared" si="14"/>
        <v>40</v>
      </c>
      <c r="J117">
        <f t="shared" si="15"/>
        <v>40</v>
      </c>
      <c r="K117">
        <f t="shared" si="16"/>
        <v>0</v>
      </c>
      <c r="L117" s="7">
        <f t="shared" si="17"/>
        <v>0</v>
      </c>
      <c r="M117" t="s">
        <v>17</v>
      </c>
      <c r="N117">
        <v>2024</v>
      </c>
      <c r="O117" t="s">
        <v>27</v>
      </c>
    </row>
    <row r="118" spans="1:15">
      <c r="A118" s="5">
        <v>45468</v>
      </c>
      <c r="B118" s="6" t="str">
        <f t="shared" si="9"/>
        <v>NO</v>
      </c>
      <c r="C118">
        <f>_xlfn.XLOOKUP(A118,Weather_clean_data!A:A,Weather_clean_data!B:B,0)</f>
        <v>28</v>
      </c>
      <c r="D118">
        <f>_xlfn.XLOOKUP(A118, Weather_clean_data!A:A, Weather_clean_data!C:C, 0)</f>
        <v>0</v>
      </c>
      <c r="E118">
        <f t="shared" si="10"/>
        <v>60</v>
      </c>
      <c r="F118">
        <f t="shared" si="11"/>
        <v>60</v>
      </c>
      <c r="G118">
        <f t="shared" si="12"/>
        <v>0</v>
      </c>
      <c r="H118" s="7">
        <f t="shared" si="13"/>
        <v>0</v>
      </c>
      <c r="I118">
        <f t="shared" si="14"/>
        <v>40</v>
      </c>
      <c r="J118">
        <f t="shared" si="15"/>
        <v>40</v>
      </c>
      <c r="K118">
        <f t="shared" si="16"/>
        <v>0</v>
      </c>
      <c r="L118" s="7">
        <f t="shared" si="17"/>
        <v>0</v>
      </c>
      <c r="M118" t="s">
        <v>17</v>
      </c>
      <c r="N118">
        <v>2024</v>
      </c>
      <c r="O118" t="s">
        <v>27</v>
      </c>
    </row>
    <row r="119" spans="1:15">
      <c r="A119" s="5">
        <v>45469</v>
      </c>
      <c r="B119" s="6" t="str">
        <f t="shared" si="9"/>
        <v>NO</v>
      </c>
      <c r="C119">
        <f>_xlfn.XLOOKUP(A119,Weather_clean_data!A:A,Weather_clean_data!B:B,0)</f>
        <v>28</v>
      </c>
      <c r="D119">
        <f>_xlfn.XLOOKUP(A119, Weather_clean_data!A:A, Weather_clean_data!C:C, 0)</f>
        <v>0</v>
      </c>
      <c r="E119">
        <f t="shared" si="10"/>
        <v>60</v>
      </c>
      <c r="F119">
        <f t="shared" si="11"/>
        <v>60</v>
      </c>
      <c r="G119">
        <f t="shared" si="12"/>
        <v>0</v>
      </c>
      <c r="H119" s="7">
        <f t="shared" si="13"/>
        <v>0</v>
      </c>
      <c r="I119">
        <f t="shared" si="14"/>
        <v>40</v>
      </c>
      <c r="J119">
        <f t="shared" si="15"/>
        <v>40</v>
      </c>
      <c r="K119">
        <f t="shared" si="16"/>
        <v>0</v>
      </c>
      <c r="L119" s="7">
        <f t="shared" si="17"/>
        <v>0</v>
      </c>
      <c r="M119" t="s">
        <v>17</v>
      </c>
      <c r="N119">
        <v>2024</v>
      </c>
      <c r="O119" t="s">
        <v>27</v>
      </c>
    </row>
    <row r="120" spans="1:15">
      <c r="A120" s="5">
        <v>45470</v>
      </c>
      <c r="B120" s="6" t="str">
        <f t="shared" si="9"/>
        <v>NO</v>
      </c>
      <c r="C120">
        <f>_xlfn.XLOOKUP(A120,Weather_clean_data!A:A,Weather_clean_data!B:B,0)</f>
        <v>21</v>
      </c>
      <c r="D120">
        <f>_xlfn.XLOOKUP(A120, Weather_clean_data!A:A, Weather_clean_data!C:C, 0)</f>
        <v>0</v>
      </c>
      <c r="E120">
        <f t="shared" si="10"/>
        <v>60</v>
      </c>
      <c r="F120">
        <f t="shared" si="11"/>
        <v>60</v>
      </c>
      <c r="G120">
        <f t="shared" si="12"/>
        <v>0</v>
      </c>
      <c r="H120" s="7">
        <f t="shared" si="13"/>
        <v>0</v>
      </c>
      <c r="I120">
        <f t="shared" si="14"/>
        <v>40</v>
      </c>
      <c r="J120">
        <f t="shared" si="15"/>
        <v>40</v>
      </c>
      <c r="K120">
        <f t="shared" si="16"/>
        <v>0</v>
      </c>
      <c r="L120" s="7">
        <f t="shared" si="17"/>
        <v>0</v>
      </c>
      <c r="M120" t="s">
        <v>17</v>
      </c>
      <c r="N120">
        <v>2024</v>
      </c>
      <c r="O120" t="s">
        <v>27</v>
      </c>
    </row>
    <row r="121" spans="1:15">
      <c r="A121" s="5">
        <v>45471</v>
      </c>
      <c r="B121" s="6" t="str">
        <f t="shared" si="9"/>
        <v>NO</v>
      </c>
      <c r="C121">
        <f>_xlfn.XLOOKUP(A121,Weather_clean_data!A:A,Weather_clean_data!B:B,0)</f>
        <v>20</v>
      </c>
      <c r="D121">
        <f>_xlfn.XLOOKUP(A121, Weather_clean_data!A:A, Weather_clean_data!C:C, 0)</f>
        <v>0</v>
      </c>
      <c r="E121">
        <f t="shared" si="10"/>
        <v>60</v>
      </c>
      <c r="F121">
        <f t="shared" si="11"/>
        <v>60</v>
      </c>
      <c r="G121">
        <f t="shared" si="12"/>
        <v>0</v>
      </c>
      <c r="H121" s="7">
        <f t="shared" si="13"/>
        <v>0</v>
      </c>
      <c r="I121">
        <f t="shared" si="14"/>
        <v>40</v>
      </c>
      <c r="J121">
        <f t="shared" si="15"/>
        <v>40</v>
      </c>
      <c r="K121">
        <f t="shared" si="16"/>
        <v>0</v>
      </c>
      <c r="L121" s="7">
        <f t="shared" si="17"/>
        <v>0</v>
      </c>
      <c r="M121" t="s">
        <v>16</v>
      </c>
      <c r="N121">
        <v>2024</v>
      </c>
      <c r="O121" t="s">
        <v>27</v>
      </c>
    </row>
    <row r="122" spans="1:15">
      <c r="A122" s="5">
        <v>45472</v>
      </c>
      <c r="B122" s="6" t="str">
        <f t="shared" si="9"/>
        <v>YES</v>
      </c>
      <c r="C122">
        <f>_xlfn.XLOOKUP(A122,Weather_clean_data!A:A,Weather_clean_data!B:B,0)</f>
        <v>22</v>
      </c>
      <c r="D122">
        <f>_xlfn.XLOOKUP(A122, Weather_clean_data!A:A, Weather_clean_data!C:C, 0)</f>
        <v>0</v>
      </c>
      <c r="E122">
        <f t="shared" si="10"/>
        <v>150</v>
      </c>
      <c r="F122">
        <f t="shared" si="11"/>
        <v>150</v>
      </c>
      <c r="G122">
        <f t="shared" si="12"/>
        <v>0</v>
      </c>
      <c r="H122" s="7">
        <f t="shared" si="13"/>
        <v>0</v>
      </c>
      <c r="I122">
        <f t="shared" si="14"/>
        <v>100</v>
      </c>
      <c r="J122">
        <f t="shared" si="15"/>
        <v>100</v>
      </c>
      <c r="K122">
        <f t="shared" si="16"/>
        <v>0</v>
      </c>
      <c r="L122" s="7">
        <f t="shared" si="17"/>
        <v>0</v>
      </c>
      <c r="M122" t="s">
        <v>16</v>
      </c>
      <c r="N122">
        <v>2024</v>
      </c>
      <c r="O122" t="s">
        <v>27</v>
      </c>
    </row>
    <row r="123" spans="1:15">
      <c r="A123" s="5">
        <v>45473</v>
      </c>
      <c r="B123" s="6" t="str">
        <f t="shared" si="9"/>
        <v>YES</v>
      </c>
      <c r="C123">
        <f>_xlfn.XLOOKUP(A123,Weather_clean_data!A:A,Weather_clean_data!B:B,0)</f>
        <v>17.7</v>
      </c>
      <c r="D123">
        <f>_xlfn.XLOOKUP(A123, Weather_clean_data!A:A, Weather_clean_data!C:C, 0)</f>
        <v>0.5</v>
      </c>
      <c r="E123">
        <f t="shared" si="10"/>
        <v>150</v>
      </c>
      <c r="F123">
        <f t="shared" si="11"/>
        <v>150</v>
      </c>
      <c r="G123">
        <f t="shared" si="12"/>
        <v>0</v>
      </c>
      <c r="H123" s="7">
        <f t="shared" si="13"/>
        <v>0</v>
      </c>
      <c r="I123">
        <f t="shared" si="14"/>
        <v>100</v>
      </c>
      <c r="J123">
        <f t="shared" si="15"/>
        <v>100</v>
      </c>
      <c r="K123">
        <f t="shared" si="16"/>
        <v>0</v>
      </c>
      <c r="L123" s="7">
        <f t="shared" si="17"/>
        <v>0</v>
      </c>
      <c r="M123" t="s">
        <v>16</v>
      </c>
      <c r="N123">
        <v>2024</v>
      </c>
      <c r="O123" t="s">
        <v>27</v>
      </c>
    </row>
    <row r="124" spans="1:15">
      <c r="A124" s="5">
        <v>45778</v>
      </c>
      <c r="B124" s="6" t="str">
        <f t="shared" si="9"/>
        <v>NO</v>
      </c>
      <c r="C124">
        <f>_xlfn.XLOOKUP(A124,Weather_clean_data!A:A,Weather_clean_data!B:B,0)</f>
        <v>28</v>
      </c>
      <c r="D124">
        <f>_xlfn.XLOOKUP(A124, Weather_clean_data!A:A, Weather_clean_data!C:C, 0)</f>
        <v>0</v>
      </c>
      <c r="E124">
        <f t="shared" si="10"/>
        <v>60</v>
      </c>
      <c r="F124">
        <f t="shared" si="11"/>
        <v>60</v>
      </c>
      <c r="G124">
        <f t="shared" si="12"/>
        <v>0</v>
      </c>
      <c r="H124" s="7">
        <f t="shared" si="13"/>
        <v>0</v>
      </c>
      <c r="I124">
        <f t="shared" si="14"/>
        <v>40</v>
      </c>
      <c r="J124">
        <f t="shared" si="15"/>
        <v>40</v>
      </c>
      <c r="K124">
        <f t="shared" si="16"/>
        <v>0</v>
      </c>
      <c r="L124" s="7">
        <f t="shared" si="17"/>
        <v>0</v>
      </c>
      <c r="M124" t="s">
        <v>17</v>
      </c>
      <c r="N124">
        <v>2025</v>
      </c>
      <c r="O124" t="s">
        <v>26</v>
      </c>
    </row>
    <row r="125" spans="1:15">
      <c r="A125" s="5">
        <v>45779</v>
      </c>
      <c r="B125" s="6" t="str">
        <f t="shared" si="9"/>
        <v>NO</v>
      </c>
      <c r="C125">
        <f>_xlfn.XLOOKUP(A125,Weather_clean_data!A:A,Weather_clean_data!B:B,0)</f>
        <v>21</v>
      </c>
      <c r="D125">
        <f>_xlfn.XLOOKUP(A125, Weather_clean_data!A:A, Weather_clean_data!C:C, 0)</f>
        <v>0</v>
      </c>
      <c r="E125">
        <f t="shared" si="10"/>
        <v>60</v>
      </c>
      <c r="F125">
        <f t="shared" si="11"/>
        <v>60</v>
      </c>
      <c r="G125">
        <f t="shared" si="12"/>
        <v>0</v>
      </c>
      <c r="H125" s="7">
        <f t="shared" si="13"/>
        <v>0</v>
      </c>
      <c r="I125">
        <f t="shared" si="14"/>
        <v>40</v>
      </c>
      <c r="J125">
        <f t="shared" si="15"/>
        <v>40</v>
      </c>
      <c r="K125">
        <f t="shared" si="16"/>
        <v>0</v>
      </c>
      <c r="L125" s="7">
        <f t="shared" si="17"/>
        <v>0</v>
      </c>
      <c r="M125" t="s">
        <v>16</v>
      </c>
      <c r="N125">
        <v>2025</v>
      </c>
      <c r="O125" t="s">
        <v>26</v>
      </c>
    </row>
    <row r="126" spans="1:15">
      <c r="A126" s="5">
        <v>45780</v>
      </c>
      <c r="B126" s="6" t="str">
        <f t="shared" si="9"/>
        <v>YES</v>
      </c>
      <c r="C126">
        <f>_xlfn.XLOOKUP(A126,Weather_clean_data!A:A,Weather_clean_data!B:B,0)</f>
        <v>17</v>
      </c>
      <c r="D126">
        <f>_xlfn.XLOOKUP(A126, Weather_clean_data!A:A, Weather_clean_data!C:C, 0)</f>
        <v>0</v>
      </c>
      <c r="E126">
        <f t="shared" si="10"/>
        <v>150</v>
      </c>
      <c r="F126">
        <f t="shared" si="11"/>
        <v>150</v>
      </c>
      <c r="G126">
        <f t="shared" si="12"/>
        <v>0</v>
      </c>
      <c r="H126" s="7">
        <f t="shared" si="13"/>
        <v>0</v>
      </c>
      <c r="I126">
        <f t="shared" si="14"/>
        <v>100</v>
      </c>
      <c r="J126">
        <f t="shared" si="15"/>
        <v>100</v>
      </c>
      <c r="K126">
        <f t="shared" si="16"/>
        <v>0</v>
      </c>
      <c r="L126" s="7">
        <f t="shared" si="17"/>
        <v>0</v>
      </c>
      <c r="M126" t="s">
        <v>16</v>
      </c>
      <c r="N126">
        <v>2025</v>
      </c>
      <c r="O126" t="s">
        <v>26</v>
      </c>
    </row>
    <row r="127" spans="1:15">
      <c r="A127" s="5">
        <v>45781</v>
      </c>
      <c r="B127" s="6" t="str">
        <f t="shared" si="9"/>
        <v>YES</v>
      </c>
      <c r="C127">
        <f>_xlfn.XLOOKUP(A127,Weather_clean_data!A:A,Weather_clean_data!B:B,0)</f>
        <v>14</v>
      </c>
      <c r="D127">
        <f>_xlfn.XLOOKUP(A127, Weather_clean_data!A:A, Weather_clean_data!C:C, 0)</f>
        <v>0</v>
      </c>
      <c r="E127">
        <f t="shared" si="10"/>
        <v>150</v>
      </c>
      <c r="F127">
        <f t="shared" si="11"/>
        <v>150</v>
      </c>
      <c r="G127">
        <f t="shared" si="12"/>
        <v>0</v>
      </c>
      <c r="H127" s="7">
        <f t="shared" si="13"/>
        <v>0</v>
      </c>
      <c r="I127">
        <f t="shared" si="14"/>
        <v>100</v>
      </c>
      <c r="J127">
        <f t="shared" si="15"/>
        <v>100</v>
      </c>
      <c r="K127">
        <f t="shared" si="16"/>
        <v>0</v>
      </c>
      <c r="L127" s="7">
        <f t="shared" si="17"/>
        <v>0</v>
      </c>
      <c r="M127" t="s">
        <v>16</v>
      </c>
      <c r="N127">
        <v>2025</v>
      </c>
      <c r="O127" t="s">
        <v>26</v>
      </c>
    </row>
    <row r="128" spans="1:15">
      <c r="A128" s="5">
        <v>45782</v>
      </c>
      <c r="B128" s="6" t="s">
        <v>12</v>
      </c>
      <c r="C128">
        <f>_xlfn.XLOOKUP(A128,Weather_clean_data!A:A,Weather_clean_data!B:B,0)</f>
        <v>14</v>
      </c>
      <c r="D128">
        <f>_xlfn.XLOOKUP(A128, Weather_clean_data!A:A, Weather_clean_data!C:C, 0)</f>
        <v>0</v>
      </c>
      <c r="E128">
        <f t="shared" si="10"/>
        <v>150</v>
      </c>
      <c r="F128">
        <f t="shared" si="11"/>
        <v>150</v>
      </c>
      <c r="G128">
        <f t="shared" si="12"/>
        <v>0</v>
      </c>
      <c r="H128" s="7">
        <f t="shared" si="13"/>
        <v>0</v>
      </c>
      <c r="I128">
        <f t="shared" si="14"/>
        <v>100</v>
      </c>
      <c r="J128">
        <f t="shared" si="15"/>
        <v>100</v>
      </c>
      <c r="K128">
        <f t="shared" si="16"/>
        <v>0</v>
      </c>
      <c r="L128" s="7">
        <f t="shared" si="17"/>
        <v>0</v>
      </c>
      <c r="M128" t="s">
        <v>16</v>
      </c>
      <c r="N128">
        <v>2025</v>
      </c>
      <c r="O128" t="s">
        <v>26</v>
      </c>
    </row>
    <row r="129" spans="1:15">
      <c r="A129" s="5">
        <v>45783</v>
      </c>
      <c r="B129" s="6" t="str">
        <f t="shared" si="9"/>
        <v>NO</v>
      </c>
      <c r="C129">
        <f>_xlfn.XLOOKUP(A129,Weather_clean_data!A:A,Weather_clean_data!B:B,0)</f>
        <v>15</v>
      </c>
      <c r="D129">
        <f>_xlfn.XLOOKUP(A129, Weather_clean_data!A:A, Weather_clean_data!C:C, 0)</f>
        <v>0</v>
      </c>
      <c r="E129">
        <f t="shared" si="10"/>
        <v>60</v>
      </c>
      <c r="F129">
        <f t="shared" si="11"/>
        <v>60</v>
      </c>
      <c r="G129">
        <f t="shared" si="12"/>
        <v>0</v>
      </c>
      <c r="H129" s="7">
        <f t="shared" si="13"/>
        <v>0</v>
      </c>
      <c r="I129">
        <f t="shared" si="14"/>
        <v>40</v>
      </c>
      <c r="J129">
        <f t="shared" si="15"/>
        <v>40</v>
      </c>
      <c r="K129">
        <f t="shared" si="16"/>
        <v>0</v>
      </c>
      <c r="L129" s="7">
        <f t="shared" si="17"/>
        <v>0</v>
      </c>
      <c r="M129" t="s">
        <v>17</v>
      </c>
      <c r="N129">
        <v>2025</v>
      </c>
      <c r="O129" t="s">
        <v>26</v>
      </c>
    </row>
    <row r="130" spans="1:15">
      <c r="A130" s="5">
        <v>45784</v>
      </c>
      <c r="B130" s="6" t="str">
        <f t="shared" si="9"/>
        <v>NO</v>
      </c>
      <c r="C130">
        <f>_xlfn.XLOOKUP(A130,Weather_clean_data!A:A,Weather_clean_data!B:B,0)</f>
        <v>18</v>
      </c>
      <c r="D130">
        <f>_xlfn.XLOOKUP(A130, Weather_clean_data!A:A, Weather_clean_data!C:C, 0)</f>
        <v>0</v>
      </c>
      <c r="E130">
        <f t="shared" si="10"/>
        <v>60</v>
      </c>
      <c r="F130">
        <f t="shared" si="11"/>
        <v>60</v>
      </c>
      <c r="G130">
        <f t="shared" si="12"/>
        <v>0</v>
      </c>
      <c r="H130" s="7">
        <f t="shared" si="13"/>
        <v>0</v>
      </c>
      <c r="I130">
        <f t="shared" si="14"/>
        <v>40</v>
      </c>
      <c r="J130">
        <f t="shared" si="15"/>
        <v>40</v>
      </c>
      <c r="K130">
        <f t="shared" si="16"/>
        <v>0</v>
      </c>
      <c r="L130" s="7">
        <f t="shared" si="17"/>
        <v>0</v>
      </c>
      <c r="M130" t="s">
        <v>17</v>
      </c>
      <c r="N130">
        <v>2025</v>
      </c>
      <c r="O130" t="s">
        <v>26</v>
      </c>
    </row>
    <row r="131" spans="1:15">
      <c r="A131" s="5">
        <v>45785</v>
      </c>
      <c r="B131" s="6" t="str">
        <f t="shared" ref="B131:B194" si="18">IF( WEEKDAY(A131, 2)  &gt;  5, "YES", "NO")</f>
        <v>NO</v>
      </c>
      <c r="C131">
        <f>_xlfn.XLOOKUP(A131,Weather_clean_data!A:A,Weather_clean_data!B:B,0)</f>
        <v>14</v>
      </c>
      <c r="D131">
        <f>_xlfn.XLOOKUP(A131, Weather_clean_data!A:A, Weather_clean_data!C:C, 0)</f>
        <v>0</v>
      </c>
      <c r="E131">
        <f t="shared" ref="E131:E194" si="19">IF(B131="Yes", 150, 60)</f>
        <v>60</v>
      </c>
      <c r="F131">
        <f t="shared" ref="F131:F194" si="20">IF(C131&gt;30,E131*0.15,IF(D131&gt;5,IF(B131="YES",36,18),E131))</f>
        <v>60</v>
      </c>
      <c r="G131">
        <f t="shared" ref="G131:G194" si="21">E131-F131</f>
        <v>0</v>
      </c>
      <c r="H131" s="7">
        <f t="shared" ref="H131:H194" si="22">G131 * 7.2</f>
        <v>0</v>
      </c>
      <c r="I131">
        <f t="shared" ref="I131:I194" si="23">IF(B131="Yes", 100, 40)</f>
        <v>40</v>
      </c>
      <c r="J131">
        <f t="shared" ref="J131:J194" si="24">IF(C131&gt;30,I131*0.15,IF(D131&gt;5,IF(B131="YES",24,12),I131))</f>
        <v>40</v>
      </c>
      <c r="K131">
        <f t="shared" ref="K131:K194" si="25">I131-J131</f>
        <v>0</v>
      </c>
      <c r="L131" s="7">
        <f t="shared" ref="L131:L194" si="26">K131 * 4</f>
        <v>0</v>
      </c>
      <c r="M131" t="s">
        <v>17</v>
      </c>
      <c r="N131">
        <v>2025</v>
      </c>
      <c r="O131" t="s">
        <v>26</v>
      </c>
    </row>
    <row r="132" spans="1:15">
      <c r="A132" s="5">
        <v>45786</v>
      </c>
      <c r="B132" s="6" t="str">
        <f t="shared" si="18"/>
        <v>NO</v>
      </c>
      <c r="C132">
        <f>_xlfn.XLOOKUP(A132,Weather_clean_data!A:A,Weather_clean_data!B:B,0)</f>
        <v>20</v>
      </c>
      <c r="D132">
        <f>_xlfn.XLOOKUP(A132, Weather_clean_data!A:A, Weather_clean_data!C:C, 0)</f>
        <v>0</v>
      </c>
      <c r="E132">
        <f t="shared" si="19"/>
        <v>60</v>
      </c>
      <c r="F132">
        <f t="shared" si="20"/>
        <v>60</v>
      </c>
      <c r="G132">
        <f t="shared" si="21"/>
        <v>0</v>
      </c>
      <c r="H132" s="7">
        <f t="shared" si="22"/>
        <v>0</v>
      </c>
      <c r="I132">
        <f t="shared" si="23"/>
        <v>40</v>
      </c>
      <c r="J132">
        <f t="shared" si="24"/>
        <v>40</v>
      </c>
      <c r="K132">
        <f t="shared" si="25"/>
        <v>0</v>
      </c>
      <c r="L132" s="7">
        <f t="shared" si="26"/>
        <v>0</v>
      </c>
      <c r="M132" t="s">
        <v>16</v>
      </c>
      <c r="N132">
        <v>2025</v>
      </c>
      <c r="O132" t="s">
        <v>26</v>
      </c>
    </row>
    <row r="133" spans="1:15">
      <c r="A133" s="5">
        <v>45787</v>
      </c>
      <c r="B133" s="6" t="str">
        <f t="shared" si="18"/>
        <v>YES</v>
      </c>
      <c r="C133">
        <f>_xlfn.XLOOKUP(A133,Weather_clean_data!A:A,Weather_clean_data!B:B,0)</f>
        <v>23</v>
      </c>
      <c r="D133">
        <f>_xlfn.XLOOKUP(A133, Weather_clean_data!A:A, Weather_clean_data!C:C, 0)</f>
        <v>0</v>
      </c>
      <c r="E133">
        <f t="shared" si="19"/>
        <v>150</v>
      </c>
      <c r="F133">
        <f t="shared" si="20"/>
        <v>150</v>
      </c>
      <c r="G133">
        <f t="shared" si="21"/>
        <v>0</v>
      </c>
      <c r="H133" s="7">
        <f t="shared" si="22"/>
        <v>0</v>
      </c>
      <c r="I133">
        <f t="shared" si="23"/>
        <v>100</v>
      </c>
      <c r="J133">
        <f t="shared" si="24"/>
        <v>100</v>
      </c>
      <c r="K133">
        <f t="shared" si="25"/>
        <v>0</v>
      </c>
      <c r="L133" s="7">
        <f t="shared" si="26"/>
        <v>0</v>
      </c>
      <c r="M133" t="s">
        <v>16</v>
      </c>
      <c r="N133">
        <v>2025</v>
      </c>
      <c r="O133" t="s">
        <v>26</v>
      </c>
    </row>
    <row r="134" spans="1:15">
      <c r="A134" s="5">
        <v>45788</v>
      </c>
      <c r="B134" s="6" t="str">
        <f t="shared" si="18"/>
        <v>YES</v>
      </c>
      <c r="C134">
        <f>_xlfn.XLOOKUP(A134,Weather_clean_data!A:A,Weather_clean_data!B:B,0)</f>
        <v>24</v>
      </c>
      <c r="D134">
        <f>_xlfn.XLOOKUP(A134, Weather_clean_data!A:A, Weather_clean_data!C:C, 0)</f>
        <v>1.5</v>
      </c>
      <c r="E134">
        <f t="shared" si="19"/>
        <v>150</v>
      </c>
      <c r="F134">
        <f t="shared" si="20"/>
        <v>150</v>
      </c>
      <c r="G134">
        <f t="shared" si="21"/>
        <v>0</v>
      </c>
      <c r="H134" s="7">
        <f t="shared" si="22"/>
        <v>0</v>
      </c>
      <c r="I134">
        <f t="shared" si="23"/>
        <v>100</v>
      </c>
      <c r="J134">
        <f t="shared" si="24"/>
        <v>100</v>
      </c>
      <c r="K134">
        <f t="shared" si="25"/>
        <v>0</v>
      </c>
      <c r="L134" s="7">
        <f t="shared" si="26"/>
        <v>0</v>
      </c>
      <c r="M134" t="s">
        <v>16</v>
      </c>
      <c r="N134">
        <v>2025</v>
      </c>
      <c r="O134" t="s">
        <v>26</v>
      </c>
    </row>
    <row r="135" spans="1:15">
      <c r="A135" s="5">
        <v>45789</v>
      </c>
      <c r="B135" s="6" t="str">
        <f t="shared" si="18"/>
        <v>NO</v>
      </c>
      <c r="C135">
        <f>_xlfn.XLOOKUP(A135,Weather_clean_data!A:A,Weather_clean_data!B:B,0)</f>
        <v>23</v>
      </c>
      <c r="D135">
        <f>_xlfn.XLOOKUP(A135, Weather_clean_data!A:A, Weather_clean_data!C:C, 0)</f>
        <v>0.7</v>
      </c>
      <c r="E135">
        <f t="shared" si="19"/>
        <v>60</v>
      </c>
      <c r="F135">
        <f t="shared" si="20"/>
        <v>60</v>
      </c>
      <c r="G135">
        <f t="shared" si="21"/>
        <v>0</v>
      </c>
      <c r="H135" s="7">
        <f t="shared" si="22"/>
        <v>0</v>
      </c>
      <c r="I135">
        <f t="shared" si="23"/>
        <v>40</v>
      </c>
      <c r="J135">
        <f t="shared" si="24"/>
        <v>40</v>
      </c>
      <c r="K135">
        <f t="shared" si="25"/>
        <v>0</v>
      </c>
      <c r="L135" s="7">
        <f t="shared" si="26"/>
        <v>0</v>
      </c>
      <c r="M135" t="s">
        <v>17</v>
      </c>
      <c r="N135">
        <v>2025</v>
      </c>
      <c r="O135" t="s">
        <v>26</v>
      </c>
    </row>
    <row r="136" spans="1:15">
      <c r="A136" s="5">
        <v>45790</v>
      </c>
      <c r="B136" s="6" t="str">
        <f t="shared" si="18"/>
        <v>NO</v>
      </c>
      <c r="C136">
        <f>_xlfn.XLOOKUP(A136,Weather_clean_data!A:A,Weather_clean_data!B:B,0)</f>
        <v>24</v>
      </c>
      <c r="D136">
        <f>_xlfn.XLOOKUP(A136, Weather_clean_data!A:A, Weather_clean_data!C:C, 0)</f>
        <v>0.1</v>
      </c>
      <c r="E136">
        <f t="shared" si="19"/>
        <v>60</v>
      </c>
      <c r="F136">
        <f t="shared" si="20"/>
        <v>60</v>
      </c>
      <c r="G136">
        <f t="shared" si="21"/>
        <v>0</v>
      </c>
      <c r="H136" s="7">
        <f t="shared" si="22"/>
        <v>0</v>
      </c>
      <c r="I136">
        <f t="shared" si="23"/>
        <v>40</v>
      </c>
      <c r="J136">
        <f t="shared" si="24"/>
        <v>40</v>
      </c>
      <c r="K136">
        <f t="shared" si="25"/>
        <v>0</v>
      </c>
      <c r="L136" s="7">
        <f t="shared" si="26"/>
        <v>0</v>
      </c>
      <c r="M136" t="s">
        <v>17</v>
      </c>
      <c r="N136">
        <v>2025</v>
      </c>
      <c r="O136" t="s">
        <v>26</v>
      </c>
    </row>
    <row r="137" spans="1:15">
      <c r="A137" s="5">
        <v>45791</v>
      </c>
      <c r="B137" s="6" t="str">
        <f t="shared" si="18"/>
        <v>NO</v>
      </c>
      <c r="C137">
        <f>_xlfn.XLOOKUP(A137,Weather_clean_data!A:A,Weather_clean_data!B:B,0)</f>
        <v>22</v>
      </c>
      <c r="D137">
        <f>_xlfn.XLOOKUP(A137, Weather_clean_data!A:A, Weather_clean_data!C:C, 0)</f>
        <v>0</v>
      </c>
      <c r="E137">
        <f t="shared" si="19"/>
        <v>60</v>
      </c>
      <c r="F137">
        <f t="shared" si="20"/>
        <v>60</v>
      </c>
      <c r="G137">
        <f t="shared" si="21"/>
        <v>0</v>
      </c>
      <c r="H137" s="7">
        <f t="shared" si="22"/>
        <v>0</v>
      </c>
      <c r="I137">
        <f t="shared" si="23"/>
        <v>40</v>
      </c>
      <c r="J137">
        <f t="shared" si="24"/>
        <v>40</v>
      </c>
      <c r="K137">
        <f t="shared" si="25"/>
        <v>0</v>
      </c>
      <c r="L137" s="7">
        <f t="shared" si="26"/>
        <v>0</v>
      </c>
      <c r="M137" t="s">
        <v>17</v>
      </c>
      <c r="N137">
        <v>2025</v>
      </c>
      <c r="O137" t="s">
        <v>26</v>
      </c>
    </row>
    <row r="138" spans="1:15">
      <c r="A138" s="5">
        <v>45792</v>
      </c>
      <c r="B138" s="6" t="str">
        <f t="shared" si="18"/>
        <v>NO</v>
      </c>
      <c r="C138">
        <f>_xlfn.XLOOKUP(A138,Weather_clean_data!A:A,Weather_clean_data!B:B,0)</f>
        <v>17</v>
      </c>
      <c r="D138">
        <f>_xlfn.XLOOKUP(A138, Weather_clean_data!A:A, Weather_clean_data!C:C, 0)</f>
        <v>0</v>
      </c>
      <c r="E138">
        <f t="shared" si="19"/>
        <v>60</v>
      </c>
      <c r="F138">
        <f t="shared" si="20"/>
        <v>60</v>
      </c>
      <c r="G138">
        <f t="shared" si="21"/>
        <v>0</v>
      </c>
      <c r="H138" s="7">
        <f t="shared" si="22"/>
        <v>0</v>
      </c>
      <c r="I138">
        <f t="shared" si="23"/>
        <v>40</v>
      </c>
      <c r="J138">
        <f t="shared" si="24"/>
        <v>40</v>
      </c>
      <c r="K138">
        <f t="shared" si="25"/>
        <v>0</v>
      </c>
      <c r="L138" s="7">
        <f t="shared" si="26"/>
        <v>0</v>
      </c>
      <c r="M138" t="s">
        <v>17</v>
      </c>
      <c r="N138">
        <v>2025</v>
      </c>
      <c r="O138" t="s">
        <v>26</v>
      </c>
    </row>
    <row r="139" spans="1:15">
      <c r="A139" s="5">
        <v>45793</v>
      </c>
      <c r="B139" s="6" t="str">
        <f t="shared" si="18"/>
        <v>NO</v>
      </c>
      <c r="C139">
        <f>_xlfn.XLOOKUP(A139,Weather_clean_data!A:A,Weather_clean_data!B:B,0)</f>
        <v>22</v>
      </c>
      <c r="D139">
        <f>_xlfn.XLOOKUP(A139, Weather_clean_data!A:A, Weather_clean_data!C:C, 0)</f>
        <v>0</v>
      </c>
      <c r="E139">
        <f t="shared" si="19"/>
        <v>60</v>
      </c>
      <c r="F139">
        <f t="shared" si="20"/>
        <v>60</v>
      </c>
      <c r="G139">
        <f t="shared" si="21"/>
        <v>0</v>
      </c>
      <c r="H139" s="7">
        <f t="shared" si="22"/>
        <v>0</v>
      </c>
      <c r="I139">
        <f t="shared" si="23"/>
        <v>40</v>
      </c>
      <c r="J139">
        <f t="shared" si="24"/>
        <v>40</v>
      </c>
      <c r="K139">
        <f t="shared" si="25"/>
        <v>0</v>
      </c>
      <c r="L139" s="7">
        <f t="shared" si="26"/>
        <v>0</v>
      </c>
      <c r="M139" t="s">
        <v>16</v>
      </c>
      <c r="N139">
        <v>2025</v>
      </c>
      <c r="O139" t="s">
        <v>26</v>
      </c>
    </row>
    <row r="140" spans="1:15">
      <c r="A140" s="5">
        <v>45794</v>
      </c>
      <c r="B140" s="6" t="str">
        <f t="shared" si="18"/>
        <v>YES</v>
      </c>
      <c r="C140">
        <f>_xlfn.XLOOKUP(A140,Weather_clean_data!A:A,Weather_clean_data!B:B,0)</f>
        <v>17</v>
      </c>
      <c r="D140">
        <f>_xlfn.XLOOKUP(A140, Weather_clean_data!A:A, Weather_clean_data!C:C, 0)</f>
        <v>0</v>
      </c>
      <c r="E140">
        <f t="shared" si="19"/>
        <v>150</v>
      </c>
      <c r="F140">
        <f t="shared" si="20"/>
        <v>150</v>
      </c>
      <c r="G140">
        <f t="shared" si="21"/>
        <v>0</v>
      </c>
      <c r="H140" s="7">
        <f t="shared" si="22"/>
        <v>0</v>
      </c>
      <c r="I140">
        <f t="shared" si="23"/>
        <v>100</v>
      </c>
      <c r="J140">
        <f t="shared" si="24"/>
        <v>100</v>
      </c>
      <c r="K140">
        <f t="shared" si="25"/>
        <v>0</v>
      </c>
      <c r="L140" s="7">
        <f t="shared" si="26"/>
        <v>0</v>
      </c>
      <c r="M140" t="s">
        <v>16</v>
      </c>
      <c r="N140">
        <v>2025</v>
      </c>
      <c r="O140" t="s">
        <v>26</v>
      </c>
    </row>
    <row r="141" spans="1:15">
      <c r="A141" s="5">
        <v>45795</v>
      </c>
      <c r="B141" s="6" t="str">
        <f t="shared" si="18"/>
        <v>YES</v>
      </c>
      <c r="C141">
        <f>_xlfn.XLOOKUP(A141,Weather_clean_data!A:A,Weather_clean_data!B:B,0)</f>
        <v>19</v>
      </c>
      <c r="D141">
        <f>_xlfn.XLOOKUP(A141, Weather_clean_data!A:A, Weather_clean_data!C:C, 0)</f>
        <v>0</v>
      </c>
      <c r="E141">
        <f t="shared" si="19"/>
        <v>150</v>
      </c>
      <c r="F141">
        <f t="shared" si="20"/>
        <v>150</v>
      </c>
      <c r="G141">
        <f t="shared" si="21"/>
        <v>0</v>
      </c>
      <c r="H141" s="7">
        <f t="shared" si="22"/>
        <v>0</v>
      </c>
      <c r="I141">
        <f t="shared" si="23"/>
        <v>100</v>
      </c>
      <c r="J141">
        <f t="shared" si="24"/>
        <v>100</v>
      </c>
      <c r="K141">
        <f t="shared" si="25"/>
        <v>0</v>
      </c>
      <c r="L141" s="7">
        <f t="shared" si="26"/>
        <v>0</v>
      </c>
      <c r="M141" t="s">
        <v>16</v>
      </c>
      <c r="N141">
        <v>2025</v>
      </c>
      <c r="O141" t="s">
        <v>26</v>
      </c>
    </row>
    <row r="142" spans="1:15">
      <c r="A142" s="5">
        <v>45796</v>
      </c>
      <c r="B142" s="6" t="str">
        <f t="shared" si="18"/>
        <v>NO</v>
      </c>
      <c r="C142">
        <f>_xlfn.XLOOKUP(A142,Weather_clean_data!A:A,Weather_clean_data!B:B,0)</f>
        <v>19</v>
      </c>
      <c r="D142">
        <f>_xlfn.XLOOKUP(A142, Weather_clean_data!A:A, Weather_clean_data!C:C, 0)</f>
        <v>0</v>
      </c>
      <c r="E142">
        <f t="shared" si="19"/>
        <v>60</v>
      </c>
      <c r="F142">
        <f t="shared" si="20"/>
        <v>60</v>
      </c>
      <c r="G142">
        <f t="shared" si="21"/>
        <v>0</v>
      </c>
      <c r="H142" s="7">
        <f t="shared" si="22"/>
        <v>0</v>
      </c>
      <c r="I142">
        <f t="shared" si="23"/>
        <v>40</v>
      </c>
      <c r="J142">
        <f t="shared" si="24"/>
        <v>40</v>
      </c>
      <c r="K142">
        <f t="shared" si="25"/>
        <v>0</v>
      </c>
      <c r="L142" s="7">
        <f t="shared" si="26"/>
        <v>0</v>
      </c>
      <c r="M142" t="s">
        <v>17</v>
      </c>
      <c r="N142">
        <v>2025</v>
      </c>
      <c r="O142" t="s">
        <v>26</v>
      </c>
    </row>
    <row r="143" spans="1:15">
      <c r="A143" s="5">
        <v>45797</v>
      </c>
      <c r="B143" s="6" t="str">
        <f t="shared" si="18"/>
        <v>NO</v>
      </c>
      <c r="C143">
        <f>_xlfn.XLOOKUP(A143,Weather_clean_data!A:A,Weather_clean_data!B:B,0)</f>
        <v>21</v>
      </c>
      <c r="D143">
        <f>_xlfn.XLOOKUP(A143, Weather_clean_data!A:A, Weather_clean_data!C:C, 0)</f>
        <v>1.2</v>
      </c>
      <c r="E143">
        <f t="shared" si="19"/>
        <v>60</v>
      </c>
      <c r="F143">
        <f t="shared" si="20"/>
        <v>60</v>
      </c>
      <c r="G143">
        <f t="shared" si="21"/>
        <v>0</v>
      </c>
      <c r="H143" s="7">
        <f t="shared" si="22"/>
        <v>0</v>
      </c>
      <c r="I143">
        <f t="shared" si="23"/>
        <v>40</v>
      </c>
      <c r="J143">
        <f t="shared" si="24"/>
        <v>40</v>
      </c>
      <c r="K143">
        <f t="shared" si="25"/>
        <v>0</v>
      </c>
      <c r="L143" s="7">
        <f t="shared" si="26"/>
        <v>0</v>
      </c>
      <c r="M143" t="s">
        <v>17</v>
      </c>
      <c r="N143">
        <v>2025</v>
      </c>
      <c r="O143" t="s">
        <v>26</v>
      </c>
    </row>
    <row r="144" spans="1:15">
      <c r="A144" s="5">
        <v>45798</v>
      </c>
      <c r="B144" s="6" t="str">
        <f t="shared" si="18"/>
        <v>NO</v>
      </c>
      <c r="C144">
        <f>_xlfn.XLOOKUP(A144,Weather_clean_data!A:A,Weather_clean_data!B:B,0)</f>
        <v>21</v>
      </c>
      <c r="D144">
        <f>_xlfn.XLOOKUP(A144, Weather_clean_data!A:A, Weather_clean_data!C:C, 0)</f>
        <v>3.8</v>
      </c>
      <c r="E144">
        <f t="shared" si="19"/>
        <v>60</v>
      </c>
      <c r="F144">
        <f t="shared" si="20"/>
        <v>60</v>
      </c>
      <c r="G144">
        <f t="shared" si="21"/>
        <v>0</v>
      </c>
      <c r="H144" s="7">
        <f t="shared" si="22"/>
        <v>0</v>
      </c>
      <c r="I144">
        <f t="shared" si="23"/>
        <v>40</v>
      </c>
      <c r="J144">
        <f t="shared" si="24"/>
        <v>40</v>
      </c>
      <c r="K144">
        <f t="shared" si="25"/>
        <v>0</v>
      </c>
      <c r="L144" s="7">
        <f t="shared" si="26"/>
        <v>0</v>
      </c>
      <c r="M144" t="s">
        <v>17</v>
      </c>
      <c r="N144">
        <v>2025</v>
      </c>
      <c r="O144" t="s">
        <v>26</v>
      </c>
    </row>
    <row r="145" spans="1:15">
      <c r="A145" s="5">
        <v>45799</v>
      </c>
      <c r="B145" s="6" t="str">
        <f t="shared" si="18"/>
        <v>NO</v>
      </c>
      <c r="C145">
        <f>_xlfn.XLOOKUP(A145,Weather_clean_data!A:A,Weather_clean_data!B:B,0)</f>
        <v>17</v>
      </c>
      <c r="D145">
        <f>_xlfn.XLOOKUP(A145, Weather_clean_data!A:A, Weather_clean_data!C:C, 0)</f>
        <v>0</v>
      </c>
      <c r="E145">
        <f t="shared" si="19"/>
        <v>60</v>
      </c>
      <c r="F145">
        <f t="shared" si="20"/>
        <v>60</v>
      </c>
      <c r="G145">
        <f t="shared" si="21"/>
        <v>0</v>
      </c>
      <c r="H145" s="7">
        <f t="shared" si="22"/>
        <v>0</v>
      </c>
      <c r="I145">
        <f t="shared" si="23"/>
        <v>40</v>
      </c>
      <c r="J145">
        <f t="shared" si="24"/>
        <v>40</v>
      </c>
      <c r="K145">
        <f t="shared" si="25"/>
        <v>0</v>
      </c>
      <c r="L145" s="7">
        <f t="shared" si="26"/>
        <v>0</v>
      </c>
      <c r="M145" t="s">
        <v>17</v>
      </c>
      <c r="N145">
        <v>2025</v>
      </c>
      <c r="O145" t="s">
        <v>26</v>
      </c>
    </row>
    <row r="146" spans="1:15">
      <c r="A146" s="5">
        <v>45800</v>
      </c>
      <c r="B146" s="6" t="str">
        <f t="shared" si="18"/>
        <v>NO</v>
      </c>
      <c r="C146">
        <f>_xlfn.XLOOKUP(A146,Weather_clean_data!A:A,Weather_clean_data!B:B,0)</f>
        <v>21</v>
      </c>
      <c r="D146">
        <f>_xlfn.XLOOKUP(A146, Weather_clean_data!A:A, Weather_clean_data!C:C, 0)</f>
        <v>0</v>
      </c>
      <c r="E146">
        <f t="shared" si="19"/>
        <v>60</v>
      </c>
      <c r="F146">
        <f t="shared" si="20"/>
        <v>60</v>
      </c>
      <c r="G146">
        <f t="shared" si="21"/>
        <v>0</v>
      </c>
      <c r="H146" s="7">
        <f t="shared" si="22"/>
        <v>0</v>
      </c>
      <c r="I146">
        <f t="shared" si="23"/>
        <v>40</v>
      </c>
      <c r="J146">
        <f t="shared" si="24"/>
        <v>40</v>
      </c>
      <c r="K146">
        <f t="shared" si="25"/>
        <v>0</v>
      </c>
      <c r="L146" s="7">
        <f t="shared" si="26"/>
        <v>0</v>
      </c>
      <c r="M146" t="s">
        <v>16</v>
      </c>
      <c r="N146">
        <v>2025</v>
      </c>
      <c r="O146" t="s">
        <v>26</v>
      </c>
    </row>
    <row r="147" spans="1:15">
      <c r="A147" s="5">
        <v>45801</v>
      </c>
      <c r="B147" s="6" t="str">
        <f t="shared" si="18"/>
        <v>YES</v>
      </c>
      <c r="C147">
        <f>_xlfn.XLOOKUP(A147,Weather_clean_data!A:A,Weather_clean_data!B:B,0)</f>
        <v>19</v>
      </c>
      <c r="D147">
        <f>_xlfn.XLOOKUP(A147, Weather_clean_data!A:A, Weather_clean_data!C:C, 0)</f>
        <v>1.7</v>
      </c>
      <c r="E147">
        <f t="shared" si="19"/>
        <v>150</v>
      </c>
      <c r="F147">
        <f t="shared" si="20"/>
        <v>150</v>
      </c>
      <c r="G147">
        <f t="shared" si="21"/>
        <v>0</v>
      </c>
      <c r="H147" s="7">
        <f t="shared" si="22"/>
        <v>0</v>
      </c>
      <c r="I147">
        <f t="shared" si="23"/>
        <v>100</v>
      </c>
      <c r="J147">
        <f t="shared" si="24"/>
        <v>100</v>
      </c>
      <c r="K147">
        <f t="shared" si="25"/>
        <v>0</v>
      </c>
      <c r="L147" s="7">
        <f t="shared" si="26"/>
        <v>0</v>
      </c>
      <c r="M147" t="s">
        <v>16</v>
      </c>
      <c r="N147">
        <v>2025</v>
      </c>
      <c r="O147" t="s">
        <v>26</v>
      </c>
    </row>
    <row r="148" spans="1:15">
      <c r="A148" s="5">
        <v>45802</v>
      </c>
      <c r="B148" s="6" t="str">
        <f t="shared" si="18"/>
        <v>YES</v>
      </c>
      <c r="C148">
        <f>_xlfn.XLOOKUP(A148,Weather_clean_data!A:A,Weather_clean_data!B:B,0)</f>
        <v>19</v>
      </c>
      <c r="D148">
        <f>_xlfn.XLOOKUP(A148, Weather_clean_data!A:A, Weather_clean_data!C:C, 0)</f>
        <v>0.4</v>
      </c>
      <c r="E148">
        <f t="shared" si="19"/>
        <v>150</v>
      </c>
      <c r="F148">
        <f t="shared" si="20"/>
        <v>150</v>
      </c>
      <c r="G148">
        <f t="shared" si="21"/>
        <v>0</v>
      </c>
      <c r="H148" s="7">
        <f t="shared" si="22"/>
        <v>0</v>
      </c>
      <c r="I148">
        <f t="shared" si="23"/>
        <v>100</v>
      </c>
      <c r="J148">
        <f t="shared" si="24"/>
        <v>100</v>
      </c>
      <c r="K148">
        <f t="shared" si="25"/>
        <v>0</v>
      </c>
      <c r="L148" s="7">
        <f t="shared" si="26"/>
        <v>0</v>
      </c>
      <c r="M148" t="s">
        <v>16</v>
      </c>
      <c r="N148">
        <v>2025</v>
      </c>
      <c r="O148" t="s">
        <v>26</v>
      </c>
    </row>
    <row r="149" spans="1:15">
      <c r="A149" s="5">
        <v>45803</v>
      </c>
      <c r="B149" s="6" t="s">
        <v>12</v>
      </c>
      <c r="C149">
        <f>_xlfn.XLOOKUP(A149,Weather_clean_data!A:A,Weather_clean_data!B:B,0)</f>
        <v>17</v>
      </c>
      <c r="D149">
        <f>_xlfn.XLOOKUP(A149, Weather_clean_data!A:A, Weather_clean_data!C:C, 0)</f>
        <v>0.6</v>
      </c>
      <c r="E149">
        <f t="shared" si="19"/>
        <v>150</v>
      </c>
      <c r="F149">
        <f t="shared" si="20"/>
        <v>150</v>
      </c>
      <c r="G149">
        <f t="shared" si="21"/>
        <v>0</v>
      </c>
      <c r="H149" s="7">
        <f t="shared" si="22"/>
        <v>0</v>
      </c>
      <c r="I149">
        <f t="shared" si="23"/>
        <v>100</v>
      </c>
      <c r="J149">
        <f t="shared" si="24"/>
        <v>100</v>
      </c>
      <c r="K149">
        <f t="shared" si="25"/>
        <v>0</v>
      </c>
      <c r="L149" s="7">
        <f t="shared" si="26"/>
        <v>0</v>
      </c>
      <c r="M149" t="s">
        <v>16</v>
      </c>
      <c r="N149">
        <v>2025</v>
      </c>
      <c r="O149" t="s">
        <v>26</v>
      </c>
    </row>
    <row r="150" spans="1:15">
      <c r="A150" s="5">
        <v>45804</v>
      </c>
      <c r="B150" s="6" t="str">
        <f t="shared" si="18"/>
        <v>NO</v>
      </c>
      <c r="C150">
        <f>_xlfn.XLOOKUP(A150,Weather_clean_data!A:A,Weather_clean_data!B:B,0)</f>
        <v>17</v>
      </c>
      <c r="D150">
        <f>_xlfn.XLOOKUP(A150, Weather_clean_data!A:A, Weather_clean_data!C:C, 0)</f>
        <v>6.1</v>
      </c>
      <c r="E150">
        <f t="shared" si="19"/>
        <v>60</v>
      </c>
      <c r="F150">
        <f t="shared" si="20"/>
        <v>18</v>
      </c>
      <c r="G150">
        <f t="shared" si="21"/>
        <v>42</v>
      </c>
      <c r="H150" s="7">
        <f t="shared" si="22"/>
        <v>302.40000000000003</v>
      </c>
      <c r="I150">
        <f t="shared" si="23"/>
        <v>40</v>
      </c>
      <c r="J150">
        <f t="shared" si="24"/>
        <v>12</v>
      </c>
      <c r="K150">
        <f t="shared" si="25"/>
        <v>28</v>
      </c>
      <c r="L150" s="7">
        <f t="shared" si="26"/>
        <v>112</v>
      </c>
      <c r="M150" t="s">
        <v>18</v>
      </c>
      <c r="N150">
        <v>2025</v>
      </c>
      <c r="O150" t="s">
        <v>26</v>
      </c>
    </row>
    <row r="151" spans="1:15">
      <c r="A151" s="5">
        <v>45805</v>
      </c>
      <c r="B151" s="6" t="str">
        <f t="shared" si="18"/>
        <v>NO</v>
      </c>
      <c r="C151">
        <f>_xlfn.XLOOKUP(A151,Weather_clean_data!A:A,Weather_clean_data!B:B,0)</f>
        <v>20</v>
      </c>
      <c r="D151">
        <f>_xlfn.XLOOKUP(A151, Weather_clean_data!A:A, Weather_clean_data!C:C, 0)</f>
        <v>1.9</v>
      </c>
      <c r="E151">
        <f t="shared" si="19"/>
        <v>60</v>
      </c>
      <c r="F151">
        <f t="shared" si="20"/>
        <v>60</v>
      </c>
      <c r="G151">
        <f t="shared" si="21"/>
        <v>0</v>
      </c>
      <c r="H151" s="7">
        <f t="shared" si="22"/>
        <v>0</v>
      </c>
      <c r="I151">
        <f t="shared" si="23"/>
        <v>40</v>
      </c>
      <c r="J151">
        <f t="shared" si="24"/>
        <v>40</v>
      </c>
      <c r="K151">
        <f t="shared" si="25"/>
        <v>0</v>
      </c>
      <c r="L151" s="7">
        <f t="shared" si="26"/>
        <v>0</v>
      </c>
      <c r="M151" t="s">
        <v>17</v>
      </c>
      <c r="N151">
        <v>2025</v>
      </c>
      <c r="O151" t="s">
        <v>26</v>
      </c>
    </row>
    <row r="152" spans="1:15">
      <c r="A152" s="5">
        <v>45806</v>
      </c>
      <c r="B152" s="6" t="str">
        <f t="shared" si="18"/>
        <v>NO</v>
      </c>
      <c r="C152">
        <f>_xlfn.XLOOKUP(A152,Weather_clean_data!A:A,Weather_clean_data!B:B,0)</f>
        <v>23</v>
      </c>
      <c r="D152">
        <f>_xlfn.XLOOKUP(A152, Weather_clean_data!A:A, Weather_clean_data!C:C, 0)</f>
        <v>0.4</v>
      </c>
      <c r="E152">
        <f t="shared" si="19"/>
        <v>60</v>
      </c>
      <c r="F152">
        <f t="shared" si="20"/>
        <v>60</v>
      </c>
      <c r="G152">
        <f t="shared" si="21"/>
        <v>0</v>
      </c>
      <c r="H152" s="7">
        <f t="shared" si="22"/>
        <v>0</v>
      </c>
      <c r="I152">
        <f t="shared" si="23"/>
        <v>40</v>
      </c>
      <c r="J152">
        <f t="shared" si="24"/>
        <v>40</v>
      </c>
      <c r="K152">
        <f t="shared" si="25"/>
        <v>0</v>
      </c>
      <c r="L152" s="7">
        <f t="shared" si="26"/>
        <v>0</v>
      </c>
      <c r="M152" t="s">
        <v>17</v>
      </c>
      <c r="N152">
        <v>2025</v>
      </c>
      <c r="O152" t="s">
        <v>26</v>
      </c>
    </row>
    <row r="153" spans="1:15">
      <c r="A153" s="5">
        <v>45807</v>
      </c>
      <c r="B153" s="6" t="str">
        <f t="shared" si="18"/>
        <v>NO</v>
      </c>
      <c r="C153">
        <f>_xlfn.XLOOKUP(A153,Weather_clean_data!A:A,Weather_clean_data!B:B,0)</f>
        <v>23</v>
      </c>
      <c r="D153">
        <f>_xlfn.XLOOKUP(A153, Weather_clean_data!A:A, Weather_clean_data!C:C, 0)</f>
        <v>0</v>
      </c>
      <c r="E153">
        <f t="shared" si="19"/>
        <v>60</v>
      </c>
      <c r="F153">
        <f t="shared" si="20"/>
        <v>60</v>
      </c>
      <c r="G153">
        <f t="shared" si="21"/>
        <v>0</v>
      </c>
      <c r="H153" s="7">
        <f t="shared" si="22"/>
        <v>0</v>
      </c>
      <c r="I153">
        <f t="shared" si="23"/>
        <v>40</v>
      </c>
      <c r="J153">
        <f t="shared" si="24"/>
        <v>40</v>
      </c>
      <c r="K153">
        <f t="shared" si="25"/>
        <v>0</v>
      </c>
      <c r="L153" s="7">
        <f t="shared" si="26"/>
        <v>0</v>
      </c>
      <c r="M153" t="s">
        <v>16</v>
      </c>
      <c r="N153">
        <v>2025</v>
      </c>
      <c r="O153" t="s">
        <v>26</v>
      </c>
    </row>
    <row r="154" spans="1:15">
      <c r="A154" s="5">
        <v>45808</v>
      </c>
      <c r="B154" s="6" t="str">
        <f t="shared" si="18"/>
        <v>YES</v>
      </c>
      <c r="C154">
        <f>_xlfn.XLOOKUP(A154,Weather_clean_data!A:A,Weather_clean_data!B:B,0)</f>
        <v>23</v>
      </c>
      <c r="D154">
        <f>_xlfn.XLOOKUP(A154, Weather_clean_data!A:A, Weather_clean_data!C:C, 0)</f>
        <v>0</v>
      </c>
      <c r="E154">
        <f t="shared" si="19"/>
        <v>150</v>
      </c>
      <c r="F154">
        <f t="shared" si="20"/>
        <v>150</v>
      </c>
      <c r="G154">
        <f t="shared" si="21"/>
        <v>0</v>
      </c>
      <c r="H154" s="7">
        <f t="shared" si="22"/>
        <v>0</v>
      </c>
      <c r="I154">
        <f t="shared" si="23"/>
        <v>100</v>
      </c>
      <c r="J154">
        <f t="shared" si="24"/>
        <v>100</v>
      </c>
      <c r="K154">
        <f t="shared" si="25"/>
        <v>0</v>
      </c>
      <c r="L154" s="7">
        <f t="shared" si="26"/>
        <v>0</v>
      </c>
      <c r="M154" t="s">
        <v>16</v>
      </c>
      <c r="N154">
        <v>2025</v>
      </c>
      <c r="O154" t="s">
        <v>26</v>
      </c>
    </row>
    <row r="155" spans="1:15">
      <c r="A155" s="5">
        <v>45809</v>
      </c>
      <c r="B155" s="6" t="str">
        <f t="shared" si="18"/>
        <v>YES</v>
      </c>
      <c r="C155">
        <f>_xlfn.XLOOKUP(A155,Weather_clean_data!A:A,Weather_clean_data!B:B,0)</f>
        <v>19</v>
      </c>
      <c r="D155">
        <f>_xlfn.XLOOKUP(A155, Weather_clean_data!A:A, Weather_clean_data!C:C, 0)</f>
        <v>0.2</v>
      </c>
      <c r="E155">
        <f t="shared" si="19"/>
        <v>150</v>
      </c>
      <c r="F155">
        <f t="shared" si="20"/>
        <v>150</v>
      </c>
      <c r="G155">
        <f t="shared" si="21"/>
        <v>0</v>
      </c>
      <c r="H155" s="7">
        <f t="shared" si="22"/>
        <v>0</v>
      </c>
      <c r="I155">
        <f t="shared" si="23"/>
        <v>100</v>
      </c>
      <c r="J155">
        <f t="shared" si="24"/>
        <v>100</v>
      </c>
      <c r="K155">
        <f t="shared" si="25"/>
        <v>0</v>
      </c>
      <c r="L155" s="7">
        <f t="shared" si="26"/>
        <v>0</v>
      </c>
      <c r="M155" t="s">
        <v>16</v>
      </c>
      <c r="N155">
        <v>2025</v>
      </c>
      <c r="O155" t="s">
        <v>27</v>
      </c>
    </row>
    <row r="156" spans="1:15">
      <c r="A156" s="5">
        <v>45810</v>
      </c>
      <c r="B156" s="6" t="str">
        <f t="shared" si="18"/>
        <v>NO</v>
      </c>
      <c r="C156">
        <f>_xlfn.XLOOKUP(A156,Weather_clean_data!A:A,Weather_clean_data!B:B,0)</f>
        <v>20</v>
      </c>
      <c r="D156">
        <f>_xlfn.XLOOKUP(A156, Weather_clean_data!A:A, Weather_clean_data!C:C, 0)</f>
        <v>0</v>
      </c>
      <c r="E156">
        <f t="shared" si="19"/>
        <v>60</v>
      </c>
      <c r="F156">
        <f t="shared" si="20"/>
        <v>60</v>
      </c>
      <c r="G156">
        <f t="shared" si="21"/>
        <v>0</v>
      </c>
      <c r="H156" s="7">
        <f t="shared" si="22"/>
        <v>0</v>
      </c>
      <c r="I156">
        <f t="shared" si="23"/>
        <v>40</v>
      </c>
      <c r="J156">
        <f t="shared" si="24"/>
        <v>40</v>
      </c>
      <c r="K156">
        <f t="shared" si="25"/>
        <v>0</v>
      </c>
      <c r="L156" s="7">
        <f t="shared" si="26"/>
        <v>0</v>
      </c>
      <c r="M156" t="s">
        <v>17</v>
      </c>
      <c r="N156">
        <v>2025</v>
      </c>
      <c r="O156" t="s">
        <v>27</v>
      </c>
    </row>
    <row r="157" spans="1:15">
      <c r="A157" s="5">
        <v>45811</v>
      </c>
      <c r="B157" s="6" t="str">
        <f t="shared" si="18"/>
        <v>NO</v>
      </c>
      <c r="C157">
        <f>_xlfn.XLOOKUP(A157,Weather_clean_data!A:A,Weather_clean_data!B:B,0)</f>
        <v>19</v>
      </c>
      <c r="D157">
        <f>_xlfn.XLOOKUP(A157, Weather_clean_data!A:A, Weather_clean_data!C:C, 0)</f>
        <v>4.5</v>
      </c>
      <c r="E157">
        <f t="shared" si="19"/>
        <v>60</v>
      </c>
      <c r="F157">
        <f t="shared" si="20"/>
        <v>60</v>
      </c>
      <c r="G157">
        <f t="shared" si="21"/>
        <v>0</v>
      </c>
      <c r="H157" s="7">
        <f t="shared" si="22"/>
        <v>0</v>
      </c>
      <c r="I157">
        <f t="shared" si="23"/>
        <v>40</v>
      </c>
      <c r="J157">
        <f t="shared" si="24"/>
        <v>40</v>
      </c>
      <c r="K157">
        <f t="shared" si="25"/>
        <v>0</v>
      </c>
      <c r="L157" s="7">
        <f t="shared" si="26"/>
        <v>0</v>
      </c>
      <c r="M157" t="s">
        <v>17</v>
      </c>
      <c r="N157">
        <v>2025</v>
      </c>
      <c r="O157" t="s">
        <v>27</v>
      </c>
    </row>
    <row r="158" spans="1:15">
      <c r="A158" s="5">
        <v>45812</v>
      </c>
      <c r="B158" s="6" t="str">
        <f t="shared" si="18"/>
        <v>NO</v>
      </c>
      <c r="C158">
        <f>_xlfn.XLOOKUP(A158,Weather_clean_data!A:A,Weather_clean_data!B:B,0)</f>
        <v>19</v>
      </c>
      <c r="D158">
        <f>_xlfn.XLOOKUP(A158, Weather_clean_data!A:A, Weather_clean_data!C:C, 0)</f>
        <v>0</v>
      </c>
      <c r="E158">
        <f t="shared" si="19"/>
        <v>60</v>
      </c>
      <c r="F158">
        <f t="shared" si="20"/>
        <v>60</v>
      </c>
      <c r="G158">
        <f t="shared" si="21"/>
        <v>0</v>
      </c>
      <c r="H158" s="7">
        <f t="shared" si="22"/>
        <v>0</v>
      </c>
      <c r="I158">
        <f t="shared" si="23"/>
        <v>40</v>
      </c>
      <c r="J158">
        <f t="shared" si="24"/>
        <v>40</v>
      </c>
      <c r="K158">
        <f t="shared" si="25"/>
        <v>0</v>
      </c>
      <c r="L158" s="7">
        <f t="shared" si="26"/>
        <v>0</v>
      </c>
      <c r="M158" t="s">
        <v>17</v>
      </c>
      <c r="N158">
        <v>2025</v>
      </c>
      <c r="O158" t="s">
        <v>27</v>
      </c>
    </row>
    <row r="159" spans="1:15">
      <c r="A159" s="5">
        <v>45813</v>
      </c>
      <c r="B159" s="6" t="str">
        <f t="shared" si="18"/>
        <v>NO</v>
      </c>
      <c r="C159">
        <f>_xlfn.XLOOKUP(A159,Weather_clean_data!A:A,Weather_clean_data!B:B,0)</f>
        <v>17</v>
      </c>
      <c r="D159">
        <f>_xlfn.XLOOKUP(A159, Weather_clean_data!A:A, Weather_clean_data!C:C, 0)</f>
        <v>3.5</v>
      </c>
      <c r="E159">
        <f t="shared" si="19"/>
        <v>60</v>
      </c>
      <c r="F159">
        <f t="shared" si="20"/>
        <v>60</v>
      </c>
      <c r="G159">
        <f t="shared" si="21"/>
        <v>0</v>
      </c>
      <c r="H159" s="7">
        <f t="shared" si="22"/>
        <v>0</v>
      </c>
      <c r="I159">
        <f t="shared" si="23"/>
        <v>40</v>
      </c>
      <c r="J159">
        <f t="shared" si="24"/>
        <v>40</v>
      </c>
      <c r="K159">
        <f t="shared" si="25"/>
        <v>0</v>
      </c>
      <c r="L159" s="7">
        <f t="shared" si="26"/>
        <v>0</v>
      </c>
      <c r="M159" t="s">
        <v>17</v>
      </c>
      <c r="N159">
        <v>2025</v>
      </c>
      <c r="O159" t="s">
        <v>27</v>
      </c>
    </row>
    <row r="160" spans="1:15">
      <c r="A160" s="5">
        <v>45814</v>
      </c>
      <c r="B160" s="6" t="str">
        <f t="shared" si="18"/>
        <v>NO</v>
      </c>
      <c r="C160">
        <f>_xlfn.XLOOKUP(A160,Weather_clean_data!A:A,Weather_clean_data!B:B,0)</f>
        <v>19</v>
      </c>
      <c r="D160">
        <f>_xlfn.XLOOKUP(A160, Weather_clean_data!A:A, Weather_clean_data!C:C, 0)</f>
        <v>0.3</v>
      </c>
      <c r="E160">
        <f t="shared" si="19"/>
        <v>60</v>
      </c>
      <c r="F160">
        <f t="shared" si="20"/>
        <v>60</v>
      </c>
      <c r="G160">
        <f t="shared" si="21"/>
        <v>0</v>
      </c>
      <c r="H160" s="7">
        <f t="shared" si="22"/>
        <v>0</v>
      </c>
      <c r="I160">
        <f t="shared" si="23"/>
        <v>40</v>
      </c>
      <c r="J160">
        <f t="shared" si="24"/>
        <v>40</v>
      </c>
      <c r="K160">
        <f t="shared" si="25"/>
        <v>0</v>
      </c>
      <c r="L160" s="7">
        <f t="shared" si="26"/>
        <v>0</v>
      </c>
      <c r="M160" t="s">
        <v>16</v>
      </c>
      <c r="N160">
        <v>2025</v>
      </c>
      <c r="O160" t="s">
        <v>27</v>
      </c>
    </row>
    <row r="161" spans="1:15">
      <c r="A161" s="5">
        <v>45815</v>
      </c>
      <c r="B161" s="6" t="str">
        <f t="shared" si="18"/>
        <v>YES</v>
      </c>
      <c r="C161">
        <f>_xlfn.XLOOKUP(A161,Weather_clean_data!A:A,Weather_clean_data!B:B,0)</f>
        <v>16</v>
      </c>
      <c r="D161">
        <f>_xlfn.XLOOKUP(A161, Weather_clean_data!A:A, Weather_clean_data!C:C, 0)</f>
        <v>16.2</v>
      </c>
      <c r="E161">
        <f t="shared" si="19"/>
        <v>150</v>
      </c>
      <c r="F161">
        <f t="shared" si="20"/>
        <v>36</v>
      </c>
      <c r="G161">
        <f t="shared" si="21"/>
        <v>114</v>
      </c>
      <c r="H161" s="7">
        <f t="shared" si="22"/>
        <v>820.80000000000007</v>
      </c>
      <c r="I161">
        <f t="shared" si="23"/>
        <v>100</v>
      </c>
      <c r="J161">
        <f t="shared" si="24"/>
        <v>24</v>
      </c>
      <c r="K161">
        <f t="shared" si="25"/>
        <v>76</v>
      </c>
      <c r="L161" s="7">
        <f t="shared" si="26"/>
        <v>304</v>
      </c>
      <c r="M161" t="s">
        <v>18</v>
      </c>
      <c r="N161">
        <v>2025</v>
      </c>
      <c r="O161" t="s">
        <v>27</v>
      </c>
    </row>
    <row r="162" spans="1:15">
      <c r="A162" s="5">
        <v>45816</v>
      </c>
      <c r="B162" s="6" t="str">
        <f t="shared" si="18"/>
        <v>YES</v>
      </c>
      <c r="C162">
        <f>_xlfn.XLOOKUP(A162,Weather_clean_data!A:A,Weather_clean_data!B:B,0)</f>
        <v>17</v>
      </c>
      <c r="D162">
        <f>_xlfn.XLOOKUP(A162, Weather_clean_data!A:A, Weather_clean_data!C:C, 0)</f>
        <v>0.5</v>
      </c>
      <c r="E162">
        <f t="shared" si="19"/>
        <v>150</v>
      </c>
      <c r="F162">
        <f t="shared" si="20"/>
        <v>150</v>
      </c>
      <c r="G162">
        <f t="shared" si="21"/>
        <v>0</v>
      </c>
      <c r="H162" s="7">
        <f t="shared" si="22"/>
        <v>0</v>
      </c>
      <c r="I162">
        <f t="shared" si="23"/>
        <v>100</v>
      </c>
      <c r="J162">
        <f t="shared" si="24"/>
        <v>100</v>
      </c>
      <c r="K162">
        <f t="shared" si="25"/>
        <v>0</v>
      </c>
      <c r="L162" s="7">
        <f t="shared" si="26"/>
        <v>0</v>
      </c>
      <c r="M162" t="s">
        <v>16</v>
      </c>
      <c r="N162">
        <v>2025</v>
      </c>
      <c r="O162" t="s">
        <v>27</v>
      </c>
    </row>
    <row r="163" spans="1:15">
      <c r="A163" s="5">
        <v>45817</v>
      </c>
      <c r="B163" s="6" t="str">
        <f t="shared" si="18"/>
        <v>NO</v>
      </c>
      <c r="C163">
        <f>_xlfn.XLOOKUP(A163,Weather_clean_data!A:A,Weather_clean_data!B:B,0)</f>
        <v>19</v>
      </c>
      <c r="D163">
        <f>_xlfn.XLOOKUP(A163, Weather_clean_data!A:A, Weather_clean_data!C:C, 0)</f>
        <v>0</v>
      </c>
      <c r="E163">
        <f t="shared" si="19"/>
        <v>60</v>
      </c>
      <c r="F163">
        <f t="shared" si="20"/>
        <v>60</v>
      </c>
      <c r="G163">
        <f t="shared" si="21"/>
        <v>0</v>
      </c>
      <c r="H163" s="7">
        <f t="shared" si="22"/>
        <v>0</v>
      </c>
      <c r="I163">
        <f t="shared" si="23"/>
        <v>40</v>
      </c>
      <c r="J163">
        <f t="shared" si="24"/>
        <v>40</v>
      </c>
      <c r="K163">
        <f t="shared" si="25"/>
        <v>0</v>
      </c>
      <c r="L163" s="7">
        <f t="shared" si="26"/>
        <v>0</v>
      </c>
      <c r="M163" t="s">
        <v>17</v>
      </c>
      <c r="N163">
        <v>2025</v>
      </c>
      <c r="O163" t="s">
        <v>27</v>
      </c>
    </row>
    <row r="164" spans="1:15">
      <c r="A164" s="5">
        <v>45818</v>
      </c>
      <c r="B164" s="6" t="str">
        <f t="shared" si="18"/>
        <v>NO</v>
      </c>
      <c r="C164">
        <f>_xlfn.XLOOKUP(A164,Weather_clean_data!A:A,Weather_clean_data!B:B,0)</f>
        <v>22</v>
      </c>
      <c r="D164">
        <f>_xlfn.XLOOKUP(A164, Weather_clean_data!A:A, Weather_clean_data!C:C, 0)</f>
        <v>0.3</v>
      </c>
      <c r="E164">
        <f t="shared" si="19"/>
        <v>60</v>
      </c>
      <c r="F164">
        <f t="shared" si="20"/>
        <v>60</v>
      </c>
      <c r="G164">
        <f t="shared" si="21"/>
        <v>0</v>
      </c>
      <c r="H164" s="7">
        <f t="shared" si="22"/>
        <v>0</v>
      </c>
      <c r="I164">
        <f t="shared" si="23"/>
        <v>40</v>
      </c>
      <c r="J164">
        <f t="shared" si="24"/>
        <v>40</v>
      </c>
      <c r="K164">
        <f t="shared" si="25"/>
        <v>0</v>
      </c>
      <c r="L164" s="7">
        <f t="shared" si="26"/>
        <v>0</v>
      </c>
      <c r="M164" t="s">
        <v>17</v>
      </c>
      <c r="N164">
        <v>2025</v>
      </c>
      <c r="O164" t="s">
        <v>27</v>
      </c>
    </row>
    <row r="165" spans="1:15">
      <c r="A165" s="5">
        <v>45819</v>
      </c>
      <c r="B165" s="6" t="str">
        <f t="shared" si="18"/>
        <v>NO</v>
      </c>
      <c r="C165">
        <f>_xlfn.XLOOKUP(A165,Weather_clean_data!A:A,Weather_clean_data!B:B,0)</f>
        <v>25</v>
      </c>
      <c r="D165">
        <f>_xlfn.XLOOKUP(A165, Weather_clean_data!A:A, Weather_clean_data!C:C, 0)</f>
        <v>0</v>
      </c>
      <c r="E165">
        <f t="shared" si="19"/>
        <v>60</v>
      </c>
      <c r="F165">
        <f t="shared" si="20"/>
        <v>60</v>
      </c>
      <c r="G165">
        <f t="shared" si="21"/>
        <v>0</v>
      </c>
      <c r="H165" s="7">
        <f t="shared" si="22"/>
        <v>0</v>
      </c>
      <c r="I165">
        <f t="shared" si="23"/>
        <v>40</v>
      </c>
      <c r="J165">
        <f t="shared" si="24"/>
        <v>40</v>
      </c>
      <c r="K165">
        <f t="shared" si="25"/>
        <v>0</v>
      </c>
      <c r="L165" s="7">
        <f t="shared" si="26"/>
        <v>0</v>
      </c>
      <c r="M165" t="s">
        <v>17</v>
      </c>
      <c r="N165">
        <v>2025</v>
      </c>
      <c r="O165" t="s">
        <v>27</v>
      </c>
    </row>
    <row r="166" spans="1:15">
      <c r="A166" s="5">
        <v>45820</v>
      </c>
      <c r="B166" s="6" t="str">
        <f t="shared" si="18"/>
        <v>NO</v>
      </c>
      <c r="C166">
        <f>_xlfn.XLOOKUP(A166,Weather_clean_data!A:A,Weather_clean_data!B:B,0)</f>
        <v>22</v>
      </c>
      <c r="D166">
        <f>_xlfn.XLOOKUP(A166, Weather_clean_data!A:A, Weather_clean_data!C:C, 0)</f>
        <v>5.7</v>
      </c>
      <c r="E166">
        <f t="shared" si="19"/>
        <v>60</v>
      </c>
      <c r="F166">
        <f t="shared" si="20"/>
        <v>18</v>
      </c>
      <c r="G166">
        <f t="shared" si="21"/>
        <v>42</v>
      </c>
      <c r="H166" s="7">
        <f t="shared" si="22"/>
        <v>302.40000000000003</v>
      </c>
      <c r="I166">
        <f t="shared" si="23"/>
        <v>40</v>
      </c>
      <c r="J166">
        <f t="shared" si="24"/>
        <v>12</v>
      </c>
      <c r="K166">
        <f t="shared" si="25"/>
        <v>28</v>
      </c>
      <c r="L166" s="7">
        <f t="shared" si="26"/>
        <v>112</v>
      </c>
      <c r="M166" t="s">
        <v>18</v>
      </c>
      <c r="N166">
        <v>2025</v>
      </c>
      <c r="O166" t="s">
        <v>27</v>
      </c>
    </row>
    <row r="167" spans="1:15">
      <c r="A167" s="5">
        <v>45821</v>
      </c>
      <c r="B167" s="6" t="str">
        <f t="shared" si="18"/>
        <v>NO</v>
      </c>
      <c r="C167">
        <f>_xlfn.XLOOKUP(A167,Weather_clean_data!A:A,Weather_clean_data!B:B,0)</f>
        <v>25</v>
      </c>
      <c r="D167">
        <f>_xlfn.XLOOKUP(A167, Weather_clean_data!A:A, Weather_clean_data!C:C, 0)</f>
        <v>3.7</v>
      </c>
      <c r="E167">
        <f t="shared" si="19"/>
        <v>60</v>
      </c>
      <c r="F167">
        <f t="shared" si="20"/>
        <v>60</v>
      </c>
      <c r="G167">
        <f t="shared" si="21"/>
        <v>0</v>
      </c>
      <c r="H167" s="7">
        <f t="shared" si="22"/>
        <v>0</v>
      </c>
      <c r="I167">
        <f t="shared" si="23"/>
        <v>40</v>
      </c>
      <c r="J167">
        <f t="shared" si="24"/>
        <v>40</v>
      </c>
      <c r="K167">
        <f t="shared" si="25"/>
        <v>0</v>
      </c>
      <c r="L167" s="7">
        <f t="shared" si="26"/>
        <v>0</v>
      </c>
      <c r="M167" t="s">
        <v>16</v>
      </c>
      <c r="N167">
        <v>2025</v>
      </c>
      <c r="O167" t="s">
        <v>27</v>
      </c>
    </row>
    <row r="168" spans="1:15">
      <c r="A168" s="5">
        <v>45822</v>
      </c>
      <c r="B168" s="6" t="str">
        <f t="shared" si="18"/>
        <v>YES</v>
      </c>
      <c r="C168">
        <f>_xlfn.XLOOKUP(A168,Weather_clean_data!A:A,Weather_clean_data!B:B,0)</f>
        <v>22</v>
      </c>
      <c r="D168">
        <f>_xlfn.XLOOKUP(A168, Weather_clean_data!A:A, Weather_clean_data!C:C, 0)</f>
        <v>1.2</v>
      </c>
      <c r="E168">
        <f t="shared" si="19"/>
        <v>150</v>
      </c>
      <c r="F168">
        <f t="shared" si="20"/>
        <v>150</v>
      </c>
      <c r="G168">
        <f t="shared" si="21"/>
        <v>0</v>
      </c>
      <c r="H168" s="7">
        <f t="shared" si="22"/>
        <v>0</v>
      </c>
      <c r="I168">
        <f t="shared" si="23"/>
        <v>100</v>
      </c>
      <c r="J168">
        <f t="shared" si="24"/>
        <v>100</v>
      </c>
      <c r="K168">
        <f t="shared" si="25"/>
        <v>0</v>
      </c>
      <c r="L168" s="7">
        <f t="shared" si="26"/>
        <v>0</v>
      </c>
      <c r="M168" t="s">
        <v>16</v>
      </c>
      <c r="N168">
        <v>2025</v>
      </c>
      <c r="O168" t="s">
        <v>27</v>
      </c>
    </row>
    <row r="169" spans="1:15">
      <c r="A169" s="5">
        <v>45823</v>
      </c>
      <c r="B169" s="6" t="str">
        <f t="shared" si="18"/>
        <v>YES</v>
      </c>
      <c r="C169">
        <f>_xlfn.XLOOKUP(A169,Weather_clean_data!A:A,Weather_clean_data!B:B,0)</f>
        <v>22</v>
      </c>
      <c r="D169">
        <f>_xlfn.XLOOKUP(A169, Weather_clean_data!A:A, Weather_clean_data!C:C, 0)</f>
        <v>0.4</v>
      </c>
      <c r="E169">
        <f t="shared" si="19"/>
        <v>150</v>
      </c>
      <c r="F169">
        <f t="shared" si="20"/>
        <v>150</v>
      </c>
      <c r="G169">
        <f t="shared" si="21"/>
        <v>0</v>
      </c>
      <c r="H169" s="7">
        <f t="shared" si="22"/>
        <v>0</v>
      </c>
      <c r="I169">
        <f t="shared" si="23"/>
        <v>100</v>
      </c>
      <c r="J169">
        <f t="shared" si="24"/>
        <v>100</v>
      </c>
      <c r="K169">
        <f t="shared" si="25"/>
        <v>0</v>
      </c>
      <c r="L169" s="7">
        <f t="shared" si="26"/>
        <v>0</v>
      </c>
      <c r="M169" t="s">
        <v>16</v>
      </c>
      <c r="N169">
        <v>2025</v>
      </c>
      <c r="O169" t="s">
        <v>27</v>
      </c>
    </row>
    <row r="170" spans="1:15">
      <c r="A170" s="5">
        <v>45824</v>
      </c>
      <c r="B170" s="6" t="str">
        <f t="shared" si="18"/>
        <v>NO</v>
      </c>
      <c r="C170">
        <f>_xlfn.XLOOKUP(A170,Weather_clean_data!A:A,Weather_clean_data!B:B,0)</f>
        <v>23</v>
      </c>
      <c r="D170">
        <f>_xlfn.XLOOKUP(A170, Weather_clean_data!A:A, Weather_clean_data!C:C, 0)</f>
        <v>0</v>
      </c>
      <c r="E170">
        <f t="shared" si="19"/>
        <v>60</v>
      </c>
      <c r="F170">
        <f t="shared" si="20"/>
        <v>60</v>
      </c>
      <c r="G170">
        <f t="shared" si="21"/>
        <v>0</v>
      </c>
      <c r="H170" s="7">
        <f t="shared" si="22"/>
        <v>0</v>
      </c>
      <c r="I170">
        <f t="shared" si="23"/>
        <v>40</v>
      </c>
      <c r="J170">
        <f t="shared" si="24"/>
        <v>40</v>
      </c>
      <c r="K170">
        <f t="shared" si="25"/>
        <v>0</v>
      </c>
      <c r="L170" s="7">
        <f t="shared" si="26"/>
        <v>0</v>
      </c>
      <c r="M170" t="s">
        <v>17</v>
      </c>
      <c r="N170">
        <v>2025</v>
      </c>
      <c r="O170" t="s">
        <v>27</v>
      </c>
    </row>
    <row r="171" spans="1:15">
      <c r="A171" s="5">
        <v>45825</v>
      </c>
      <c r="B171" s="6" t="str">
        <f t="shared" si="18"/>
        <v>NO</v>
      </c>
      <c r="C171">
        <f>_xlfn.XLOOKUP(A171,Weather_clean_data!A:A,Weather_clean_data!B:B,0)</f>
        <v>24</v>
      </c>
      <c r="D171">
        <f>_xlfn.XLOOKUP(A171, Weather_clean_data!A:A, Weather_clean_data!C:C, 0)</f>
        <v>0</v>
      </c>
      <c r="E171">
        <f t="shared" si="19"/>
        <v>60</v>
      </c>
      <c r="F171">
        <f t="shared" si="20"/>
        <v>60</v>
      </c>
      <c r="G171">
        <f t="shared" si="21"/>
        <v>0</v>
      </c>
      <c r="H171" s="7">
        <f t="shared" si="22"/>
        <v>0</v>
      </c>
      <c r="I171">
        <f t="shared" si="23"/>
        <v>40</v>
      </c>
      <c r="J171">
        <f t="shared" si="24"/>
        <v>40</v>
      </c>
      <c r="K171">
        <f t="shared" si="25"/>
        <v>0</v>
      </c>
      <c r="L171" s="7">
        <f t="shared" si="26"/>
        <v>0</v>
      </c>
      <c r="M171" t="s">
        <v>17</v>
      </c>
      <c r="N171">
        <v>2025</v>
      </c>
      <c r="O171" t="s">
        <v>27</v>
      </c>
    </row>
    <row r="172" spans="1:15">
      <c r="A172" s="5">
        <v>45826</v>
      </c>
      <c r="B172" s="6" t="str">
        <f t="shared" si="18"/>
        <v>NO</v>
      </c>
      <c r="C172">
        <f>_xlfn.XLOOKUP(A172,Weather_clean_data!A:A,Weather_clean_data!B:B,0)</f>
        <v>27</v>
      </c>
      <c r="D172">
        <f>_xlfn.XLOOKUP(A172, Weather_clean_data!A:A, Weather_clean_data!C:C, 0)</f>
        <v>0</v>
      </c>
      <c r="E172">
        <f t="shared" si="19"/>
        <v>60</v>
      </c>
      <c r="F172">
        <f t="shared" si="20"/>
        <v>60</v>
      </c>
      <c r="G172">
        <f t="shared" si="21"/>
        <v>0</v>
      </c>
      <c r="H172" s="7">
        <f t="shared" si="22"/>
        <v>0</v>
      </c>
      <c r="I172">
        <f t="shared" si="23"/>
        <v>40</v>
      </c>
      <c r="J172">
        <f t="shared" si="24"/>
        <v>40</v>
      </c>
      <c r="K172">
        <f t="shared" si="25"/>
        <v>0</v>
      </c>
      <c r="L172" s="7">
        <f t="shared" si="26"/>
        <v>0</v>
      </c>
      <c r="M172" t="s">
        <v>17</v>
      </c>
      <c r="N172">
        <v>2025</v>
      </c>
      <c r="O172" t="s">
        <v>27</v>
      </c>
    </row>
    <row r="173" spans="1:15">
      <c r="A173" s="5">
        <v>45827</v>
      </c>
      <c r="B173" s="6" t="str">
        <f t="shared" si="18"/>
        <v>NO</v>
      </c>
      <c r="C173">
        <f>_xlfn.XLOOKUP(A173,Weather_clean_data!A:A,Weather_clean_data!B:B,0)</f>
        <v>31</v>
      </c>
      <c r="D173">
        <f>_xlfn.XLOOKUP(A173, Weather_clean_data!A:A, Weather_clean_data!C:C, 0)</f>
        <v>0</v>
      </c>
      <c r="E173">
        <f t="shared" si="19"/>
        <v>60</v>
      </c>
      <c r="F173">
        <f t="shared" si="20"/>
        <v>9</v>
      </c>
      <c r="G173">
        <f t="shared" si="21"/>
        <v>51</v>
      </c>
      <c r="H173" s="7">
        <f t="shared" si="22"/>
        <v>367.2</v>
      </c>
      <c r="I173">
        <f t="shared" si="23"/>
        <v>40</v>
      </c>
      <c r="J173">
        <f t="shared" si="24"/>
        <v>6</v>
      </c>
      <c r="K173">
        <f t="shared" si="25"/>
        <v>34</v>
      </c>
      <c r="L173" s="7">
        <f t="shared" si="26"/>
        <v>136</v>
      </c>
      <c r="M173" t="s">
        <v>19</v>
      </c>
      <c r="N173">
        <v>2025</v>
      </c>
      <c r="O173" t="s">
        <v>27</v>
      </c>
    </row>
    <row r="174" spans="1:15">
      <c r="A174" s="5">
        <v>45828</v>
      </c>
      <c r="B174" s="6" t="str">
        <f t="shared" si="18"/>
        <v>NO</v>
      </c>
      <c r="C174">
        <f>_xlfn.XLOOKUP(A174,Weather_clean_data!A:A,Weather_clean_data!B:B,0)</f>
        <v>30</v>
      </c>
      <c r="D174">
        <f>_xlfn.XLOOKUP(A174, Weather_clean_data!A:A, Weather_clean_data!C:C, 0)</f>
        <v>0</v>
      </c>
      <c r="E174">
        <f t="shared" si="19"/>
        <v>60</v>
      </c>
      <c r="F174">
        <f t="shared" si="20"/>
        <v>60</v>
      </c>
      <c r="G174">
        <f t="shared" si="21"/>
        <v>0</v>
      </c>
      <c r="H174" s="7">
        <f t="shared" si="22"/>
        <v>0</v>
      </c>
      <c r="I174">
        <f t="shared" si="23"/>
        <v>40</v>
      </c>
      <c r="J174">
        <f t="shared" si="24"/>
        <v>40</v>
      </c>
      <c r="K174">
        <f t="shared" si="25"/>
        <v>0</v>
      </c>
      <c r="L174" s="7">
        <f t="shared" si="26"/>
        <v>0</v>
      </c>
      <c r="M174" t="s">
        <v>16</v>
      </c>
      <c r="N174">
        <v>2025</v>
      </c>
      <c r="O174" t="s">
        <v>27</v>
      </c>
    </row>
    <row r="175" spans="1:15">
      <c r="A175" s="5">
        <v>45829</v>
      </c>
      <c r="B175" s="6" t="str">
        <f t="shared" si="18"/>
        <v>YES</v>
      </c>
      <c r="C175">
        <f>_xlfn.XLOOKUP(A175,Weather_clean_data!A:A,Weather_clean_data!B:B,0)</f>
        <v>31</v>
      </c>
      <c r="D175">
        <f>_xlfn.XLOOKUP(A175, Weather_clean_data!A:A, Weather_clean_data!C:C, 0)</f>
        <v>1.2</v>
      </c>
      <c r="E175">
        <f t="shared" si="19"/>
        <v>150</v>
      </c>
      <c r="F175">
        <f t="shared" si="20"/>
        <v>22.5</v>
      </c>
      <c r="G175">
        <f t="shared" si="21"/>
        <v>127.5</v>
      </c>
      <c r="H175" s="7">
        <f t="shared" si="22"/>
        <v>918</v>
      </c>
      <c r="I175">
        <f t="shared" si="23"/>
        <v>100</v>
      </c>
      <c r="J175">
        <f t="shared" si="24"/>
        <v>15</v>
      </c>
      <c r="K175">
        <f t="shared" si="25"/>
        <v>85</v>
      </c>
      <c r="L175" s="7">
        <f t="shared" si="26"/>
        <v>340</v>
      </c>
      <c r="M175" t="s">
        <v>19</v>
      </c>
      <c r="N175">
        <v>2025</v>
      </c>
      <c r="O175" t="s">
        <v>27</v>
      </c>
    </row>
    <row r="176" spans="1:15">
      <c r="A176" s="5">
        <v>45830</v>
      </c>
      <c r="B176" s="6" t="str">
        <f t="shared" si="18"/>
        <v>YES</v>
      </c>
      <c r="C176">
        <f>_xlfn.XLOOKUP(A176,Weather_clean_data!A:A,Weather_clean_data!B:B,0)</f>
        <v>22</v>
      </c>
      <c r="D176">
        <f>_xlfn.XLOOKUP(A176, Weather_clean_data!A:A, Weather_clean_data!C:C, 0)</f>
        <v>0.7</v>
      </c>
      <c r="E176">
        <f t="shared" si="19"/>
        <v>150</v>
      </c>
      <c r="F176">
        <f t="shared" si="20"/>
        <v>150</v>
      </c>
      <c r="G176">
        <f t="shared" si="21"/>
        <v>0</v>
      </c>
      <c r="H176" s="7">
        <f t="shared" si="22"/>
        <v>0</v>
      </c>
      <c r="I176">
        <f t="shared" si="23"/>
        <v>100</v>
      </c>
      <c r="J176">
        <f t="shared" si="24"/>
        <v>100</v>
      </c>
      <c r="K176">
        <f t="shared" si="25"/>
        <v>0</v>
      </c>
      <c r="L176" s="7">
        <f t="shared" si="26"/>
        <v>0</v>
      </c>
      <c r="M176" t="s">
        <v>16</v>
      </c>
      <c r="N176">
        <v>2025</v>
      </c>
      <c r="O176" t="s">
        <v>27</v>
      </c>
    </row>
    <row r="177" spans="1:15">
      <c r="A177" s="5">
        <v>45831</v>
      </c>
      <c r="B177" s="6" t="str">
        <f t="shared" si="18"/>
        <v>NO</v>
      </c>
      <c r="C177">
        <f>_xlfn.XLOOKUP(A177,Weather_clean_data!A:A,Weather_clean_data!B:B,0)</f>
        <v>21</v>
      </c>
      <c r="D177">
        <f>_xlfn.XLOOKUP(A177, Weather_clean_data!A:A, Weather_clean_data!C:C, 0)</f>
        <v>0.9</v>
      </c>
      <c r="E177">
        <f t="shared" si="19"/>
        <v>60</v>
      </c>
      <c r="F177">
        <f t="shared" si="20"/>
        <v>60</v>
      </c>
      <c r="G177">
        <f t="shared" si="21"/>
        <v>0</v>
      </c>
      <c r="H177" s="7">
        <f t="shared" si="22"/>
        <v>0</v>
      </c>
      <c r="I177">
        <f t="shared" si="23"/>
        <v>40</v>
      </c>
      <c r="J177">
        <f t="shared" si="24"/>
        <v>40</v>
      </c>
      <c r="K177">
        <f t="shared" si="25"/>
        <v>0</v>
      </c>
      <c r="L177" s="7">
        <f t="shared" si="26"/>
        <v>0</v>
      </c>
      <c r="M177" t="s">
        <v>17</v>
      </c>
      <c r="N177">
        <v>2025</v>
      </c>
      <c r="O177" t="s">
        <v>27</v>
      </c>
    </row>
    <row r="178" spans="1:15">
      <c r="A178" s="5">
        <v>45832</v>
      </c>
      <c r="B178" s="6" t="str">
        <f t="shared" si="18"/>
        <v>NO</v>
      </c>
      <c r="C178">
        <f>_xlfn.XLOOKUP(A178,Weather_clean_data!A:A,Weather_clean_data!B:B,0)</f>
        <v>24</v>
      </c>
      <c r="D178">
        <f>_xlfn.XLOOKUP(A178, Weather_clean_data!A:A, Weather_clean_data!C:C, 0)</f>
        <v>0.8</v>
      </c>
      <c r="E178">
        <f t="shared" si="19"/>
        <v>60</v>
      </c>
      <c r="F178">
        <f t="shared" si="20"/>
        <v>60</v>
      </c>
      <c r="G178">
        <f t="shared" si="21"/>
        <v>0</v>
      </c>
      <c r="H178" s="7">
        <f t="shared" si="22"/>
        <v>0</v>
      </c>
      <c r="I178">
        <f t="shared" si="23"/>
        <v>40</v>
      </c>
      <c r="J178">
        <f t="shared" si="24"/>
        <v>40</v>
      </c>
      <c r="K178">
        <f t="shared" si="25"/>
        <v>0</v>
      </c>
      <c r="L178" s="7">
        <f t="shared" si="26"/>
        <v>0</v>
      </c>
      <c r="M178" t="s">
        <v>17</v>
      </c>
      <c r="N178">
        <v>2025</v>
      </c>
      <c r="O178" t="s">
        <v>27</v>
      </c>
    </row>
    <row r="179" spans="1:15">
      <c r="A179" s="5">
        <v>45833</v>
      </c>
      <c r="B179" s="6" t="str">
        <f t="shared" si="18"/>
        <v>NO</v>
      </c>
      <c r="C179">
        <f>_xlfn.XLOOKUP(A179,Weather_clean_data!A:A,Weather_clean_data!B:B,0)</f>
        <v>24</v>
      </c>
      <c r="D179">
        <f>_xlfn.XLOOKUP(A179, Weather_clean_data!A:A, Weather_clean_data!C:C, 0)</f>
        <v>0.2</v>
      </c>
      <c r="E179">
        <f t="shared" si="19"/>
        <v>60</v>
      </c>
      <c r="F179">
        <f t="shared" si="20"/>
        <v>60</v>
      </c>
      <c r="G179">
        <f t="shared" si="21"/>
        <v>0</v>
      </c>
      <c r="H179" s="7">
        <f t="shared" si="22"/>
        <v>0</v>
      </c>
      <c r="I179">
        <f t="shared" si="23"/>
        <v>40</v>
      </c>
      <c r="J179">
        <f t="shared" si="24"/>
        <v>40</v>
      </c>
      <c r="K179">
        <f t="shared" si="25"/>
        <v>0</v>
      </c>
      <c r="L179" s="7">
        <f t="shared" si="26"/>
        <v>0</v>
      </c>
      <c r="M179" t="s">
        <v>17</v>
      </c>
      <c r="N179">
        <v>2025</v>
      </c>
      <c r="O179" t="s">
        <v>27</v>
      </c>
    </row>
    <row r="180" spans="1:15">
      <c r="A180" s="5">
        <v>45834</v>
      </c>
      <c r="B180" s="6" t="str">
        <f t="shared" si="18"/>
        <v>NO</v>
      </c>
      <c r="C180">
        <f>_xlfn.XLOOKUP(A180,Weather_clean_data!A:A,Weather_clean_data!B:B,0)</f>
        <v>23</v>
      </c>
      <c r="D180">
        <f>_xlfn.XLOOKUP(A180, Weather_clean_data!A:A, Weather_clean_data!C:C, 0)</f>
        <v>1.3</v>
      </c>
      <c r="E180">
        <f t="shared" si="19"/>
        <v>60</v>
      </c>
      <c r="F180">
        <f t="shared" si="20"/>
        <v>60</v>
      </c>
      <c r="G180">
        <f t="shared" si="21"/>
        <v>0</v>
      </c>
      <c r="H180" s="7">
        <f t="shared" si="22"/>
        <v>0</v>
      </c>
      <c r="I180">
        <f t="shared" si="23"/>
        <v>40</v>
      </c>
      <c r="J180">
        <f t="shared" si="24"/>
        <v>40</v>
      </c>
      <c r="K180">
        <f t="shared" si="25"/>
        <v>0</v>
      </c>
      <c r="L180" s="7">
        <f t="shared" si="26"/>
        <v>0</v>
      </c>
      <c r="M180" t="s">
        <v>17</v>
      </c>
      <c r="N180">
        <v>2025</v>
      </c>
      <c r="O180" t="s">
        <v>27</v>
      </c>
    </row>
    <row r="181" spans="1:15">
      <c r="A181" s="5">
        <v>45835</v>
      </c>
      <c r="B181" s="6" t="str">
        <f t="shared" si="18"/>
        <v>NO</v>
      </c>
      <c r="C181">
        <f>_xlfn.XLOOKUP(A181,Weather_clean_data!A:A,Weather_clean_data!B:B,0)</f>
        <v>26</v>
      </c>
      <c r="D181">
        <f>_xlfn.XLOOKUP(A181, Weather_clean_data!A:A, Weather_clean_data!C:C, 0)</f>
        <v>2.1</v>
      </c>
      <c r="E181">
        <f t="shared" si="19"/>
        <v>60</v>
      </c>
      <c r="F181">
        <f t="shared" si="20"/>
        <v>60</v>
      </c>
      <c r="G181">
        <f t="shared" si="21"/>
        <v>0</v>
      </c>
      <c r="H181" s="7">
        <f t="shared" si="22"/>
        <v>0</v>
      </c>
      <c r="I181">
        <f t="shared" si="23"/>
        <v>40</v>
      </c>
      <c r="J181">
        <f t="shared" si="24"/>
        <v>40</v>
      </c>
      <c r="K181">
        <f t="shared" si="25"/>
        <v>0</v>
      </c>
      <c r="L181" s="7">
        <f t="shared" si="26"/>
        <v>0</v>
      </c>
      <c r="M181" t="s">
        <v>16</v>
      </c>
      <c r="N181">
        <v>2025</v>
      </c>
      <c r="O181" t="s">
        <v>27</v>
      </c>
    </row>
    <row r="182" spans="1:15">
      <c r="A182" s="5">
        <v>45836</v>
      </c>
      <c r="B182" s="6" t="str">
        <f t="shared" si="18"/>
        <v>YES</v>
      </c>
      <c r="C182">
        <f>_xlfn.XLOOKUP(A182,Weather_clean_data!A:A,Weather_clean_data!B:B,0)</f>
        <v>25</v>
      </c>
      <c r="D182">
        <f>_xlfn.XLOOKUP(A182, Weather_clean_data!A:A, Weather_clean_data!C:C, 0)</f>
        <v>0</v>
      </c>
      <c r="E182">
        <f t="shared" si="19"/>
        <v>150</v>
      </c>
      <c r="F182">
        <f t="shared" si="20"/>
        <v>150</v>
      </c>
      <c r="G182">
        <f t="shared" si="21"/>
        <v>0</v>
      </c>
      <c r="H182" s="7">
        <f t="shared" si="22"/>
        <v>0</v>
      </c>
      <c r="I182">
        <f t="shared" si="23"/>
        <v>100</v>
      </c>
      <c r="J182">
        <f t="shared" si="24"/>
        <v>100</v>
      </c>
      <c r="K182">
        <f t="shared" si="25"/>
        <v>0</v>
      </c>
      <c r="L182" s="7">
        <f t="shared" si="26"/>
        <v>0</v>
      </c>
      <c r="M182" t="s">
        <v>16</v>
      </c>
      <c r="N182">
        <v>2025</v>
      </c>
      <c r="O182" t="s">
        <v>27</v>
      </c>
    </row>
    <row r="183" spans="1:15">
      <c r="A183" s="5">
        <v>45837</v>
      </c>
      <c r="B183" s="6" t="str">
        <f t="shared" si="18"/>
        <v>YES</v>
      </c>
      <c r="C183">
        <f>_xlfn.XLOOKUP(A183,Weather_clean_data!A:A,Weather_clean_data!B:B,0)</f>
        <v>28</v>
      </c>
      <c r="D183">
        <f>_xlfn.XLOOKUP(A183, Weather_clean_data!A:A, Weather_clean_data!C:C, 0)</f>
        <v>0</v>
      </c>
      <c r="E183">
        <f t="shared" si="19"/>
        <v>150</v>
      </c>
      <c r="F183">
        <f t="shared" si="20"/>
        <v>150</v>
      </c>
      <c r="G183">
        <f t="shared" si="21"/>
        <v>0</v>
      </c>
      <c r="H183" s="7">
        <f t="shared" si="22"/>
        <v>0</v>
      </c>
      <c r="I183">
        <f t="shared" si="23"/>
        <v>100</v>
      </c>
      <c r="J183">
        <f t="shared" si="24"/>
        <v>100</v>
      </c>
      <c r="K183">
        <f t="shared" si="25"/>
        <v>0</v>
      </c>
      <c r="L183" s="7">
        <f t="shared" si="26"/>
        <v>0</v>
      </c>
      <c r="M183" t="s">
        <v>16</v>
      </c>
      <c r="N183">
        <v>2025</v>
      </c>
      <c r="O183" t="s">
        <v>27</v>
      </c>
    </row>
    <row r="184" spans="1:15">
      <c r="A184" s="5">
        <v>45838</v>
      </c>
      <c r="B184" s="6" t="str">
        <f t="shared" si="18"/>
        <v>NO</v>
      </c>
      <c r="C184">
        <f>_xlfn.XLOOKUP(A184,Weather_clean_data!A:A,Weather_clean_data!B:B,0)</f>
        <v>31</v>
      </c>
      <c r="D184">
        <f>_xlfn.XLOOKUP(A184, Weather_clean_data!A:A, Weather_clean_data!C:C, 0)</f>
        <v>0</v>
      </c>
      <c r="E184">
        <f t="shared" si="19"/>
        <v>60</v>
      </c>
      <c r="F184">
        <f t="shared" si="20"/>
        <v>9</v>
      </c>
      <c r="G184">
        <f t="shared" si="21"/>
        <v>51</v>
      </c>
      <c r="H184" s="7">
        <f t="shared" si="22"/>
        <v>367.2</v>
      </c>
      <c r="I184">
        <f t="shared" si="23"/>
        <v>40</v>
      </c>
      <c r="J184">
        <f t="shared" si="24"/>
        <v>6</v>
      </c>
      <c r="K184">
        <f t="shared" si="25"/>
        <v>34</v>
      </c>
      <c r="L184" s="7">
        <f t="shared" si="26"/>
        <v>136</v>
      </c>
      <c r="M184" t="s">
        <v>19</v>
      </c>
      <c r="N184">
        <v>2025</v>
      </c>
      <c r="O184" t="s">
        <v>27</v>
      </c>
    </row>
    <row r="185" spans="1:15">
      <c r="A185" s="5">
        <v>46143</v>
      </c>
      <c r="B185" s="6" t="str">
        <f t="shared" si="18"/>
        <v>NO</v>
      </c>
      <c r="C185">
        <f>_xlfn.XLOOKUP(A185,Weather_clean_data!A:A,Weather_clean_data!B:B,0)</f>
        <v>21</v>
      </c>
      <c r="D185">
        <f>_xlfn.XLOOKUP(A185, Weather_clean_data!A:A, Weather_clean_data!C:C, 0)</f>
        <v>3.3</v>
      </c>
      <c r="E185">
        <f t="shared" si="19"/>
        <v>60</v>
      </c>
      <c r="F185">
        <f t="shared" si="20"/>
        <v>60</v>
      </c>
      <c r="G185">
        <f t="shared" si="21"/>
        <v>0</v>
      </c>
      <c r="H185" s="7">
        <f t="shared" si="22"/>
        <v>0</v>
      </c>
      <c r="I185">
        <f t="shared" si="23"/>
        <v>40</v>
      </c>
      <c r="J185">
        <f t="shared" si="24"/>
        <v>40</v>
      </c>
      <c r="K185">
        <f t="shared" si="25"/>
        <v>0</v>
      </c>
      <c r="L185" s="7">
        <f t="shared" si="26"/>
        <v>0</v>
      </c>
      <c r="M185" t="s">
        <v>16</v>
      </c>
      <c r="N185">
        <v>2026</v>
      </c>
      <c r="O185" t="s">
        <v>26</v>
      </c>
    </row>
    <row r="186" spans="1:15">
      <c r="A186" s="5">
        <v>46144</v>
      </c>
      <c r="B186" s="6" t="str">
        <f t="shared" si="18"/>
        <v>YES</v>
      </c>
      <c r="C186">
        <f>_xlfn.XLOOKUP(A186,Weather_clean_data!A:A,Weather_clean_data!B:B,0)</f>
        <v>19</v>
      </c>
      <c r="D186">
        <f>_xlfn.XLOOKUP(A186, Weather_clean_data!A:A, Weather_clean_data!C:C, 0)</f>
        <v>1.8</v>
      </c>
      <c r="E186">
        <f t="shared" si="19"/>
        <v>150</v>
      </c>
      <c r="F186">
        <f t="shared" si="20"/>
        <v>150</v>
      </c>
      <c r="G186">
        <f t="shared" si="21"/>
        <v>0</v>
      </c>
      <c r="H186" s="7">
        <f t="shared" si="22"/>
        <v>0</v>
      </c>
      <c r="I186">
        <f t="shared" si="23"/>
        <v>100</v>
      </c>
      <c r="J186">
        <f t="shared" si="24"/>
        <v>100</v>
      </c>
      <c r="K186">
        <f t="shared" si="25"/>
        <v>0</v>
      </c>
      <c r="L186" s="7">
        <f t="shared" si="26"/>
        <v>0</v>
      </c>
      <c r="M186" t="s">
        <v>16</v>
      </c>
      <c r="N186">
        <v>2026</v>
      </c>
      <c r="O186" t="s">
        <v>26</v>
      </c>
    </row>
    <row r="187" spans="1:15">
      <c r="A187" s="5">
        <v>46145</v>
      </c>
      <c r="B187" s="6" t="str">
        <f t="shared" si="18"/>
        <v>YES</v>
      </c>
      <c r="C187">
        <f>_xlfn.XLOOKUP(A187,Weather_clean_data!A:A,Weather_clean_data!B:B,0)</f>
        <v>17.399999999999999</v>
      </c>
      <c r="D187">
        <f>_xlfn.XLOOKUP(A187, Weather_clean_data!A:A, Weather_clean_data!C:C, 0)</f>
        <v>2.9</v>
      </c>
      <c r="E187">
        <f t="shared" si="19"/>
        <v>150</v>
      </c>
      <c r="F187">
        <f t="shared" si="20"/>
        <v>150</v>
      </c>
      <c r="G187">
        <f t="shared" si="21"/>
        <v>0</v>
      </c>
      <c r="H187" s="7">
        <f t="shared" si="22"/>
        <v>0</v>
      </c>
      <c r="I187">
        <f t="shared" si="23"/>
        <v>100</v>
      </c>
      <c r="J187">
        <f t="shared" si="24"/>
        <v>100</v>
      </c>
      <c r="K187">
        <f t="shared" si="25"/>
        <v>0</v>
      </c>
      <c r="L187" s="7">
        <f t="shared" si="26"/>
        <v>0</v>
      </c>
      <c r="M187" t="s">
        <v>16</v>
      </c>
      <c r="N187">
        <v>2026</v>
      </c>
      <c r="O187" t="s">
        <v>26</v>
      </c>
    </row>
    <row r="188" spans="1:15">
      <c r="A188" s="5">
        <v>46146</v>
      </c>
      <c r="B188" s="6" t="s">
        <v>12</v>
      </c>
      <c r="C188">
        <f>_xlfn.XLOOKUP(A188,Weather_clean_data!A:A,Weather_clean_data!B:B,0)</f>
        <v>16</v>
      </c>
      <c r="D188">
        <f>_xlfn.XLOOKUP(A188, Weather_clean_data!A:A, Weather_clean_data!C:C, 0)</f>
        <v>1.9</v>
      </c>
      <c r="E188">
        <f t="shared" si="19"/>
        <v>150</v>
      </c>
      <c r="F188">
        <f t="shared" si="20"/>
        <v>150</v>
      </c>
      <c r="G188">
        <f t="shared" si="21"/>
        <v>0</v>
      </c>
      <c r="H188" s="7">
        <f t="shared" si="22"/>
        <v>0</v>
      </c>
      <c r="I188">
        <f t="shared" si="23"/>
        <v>100</v>
      </c>
      <c r="J188">
        <f t="shared" si="24"/>
        <v>100</v>
      </c>
      <c r="K188">
        <f t="shared" si="25"/>
        <v>0</v>
      </c>
      <c r="L188" s="7">
        <f t="shared" si="26"/>
        <v>0</v>
      </c>
      <c r="M188" t="s">
        <v>16</v>
      </c>
      <c r="N188">
        <v>2026</v>
      </c>
      <c r="O188" t="s">
        <v>26</v>
      </c>
    </row>
    <row r="189" spans="1:15">
      <c r="A189" s="5">
        <v>46147</v>
      </c>
      <c r="B189" s="6" t="str">
        <f t="shared" si="18"/>
        <v>NO</v>
      </c>
      <c r="C189">
        <f>_xlfn.XLOOKUP(A189,Weather_clean_data!A:A,Weather_clean_data!B:B,0)</f>
        <v>15</v>
      </c>
      <c r="D189">
        <f>_xlfn.XLOOKUP(A189, Weather_clean_data!A:A, Weather_clean_data!C:C, 0)</f>
        <v>0</v>
      </c>
      <c r="E189">
        <f t="shared" si="19"/>
        <v>60</v>
      </c>
      <c r="F189">
        <f t="shared" si="20"/>
        <v>60</v>
      </c>
      <c r="G189">
        <f t="shared" si="21"/>
        <v>0</v>
      </c>
      <c r="H189" s="7">
        <f t="shared" si="22"/>
        <v>0</v>
      </c>
      <c r="I189">
        <f t="shared" si="23"/>
        <v>40</v>
      </c>
      <c r="J189">
        <f t="shared" si="24"/>
        <v>40</v>
      </c>
      <c r="K189">
        <f t="shared" si="25"/>
        <v>0</v>
      </c>
      <c r="L189" s="7">
        <f t="shared" si="26"/>
        <v>0</v>
      </c>
      <c r="M189" t="s">
        <v>17</v>
      </c>
      <c r="N189">
        <v>2026</v>
      </c>
      <c r="O189" t="s">
        <v>26</v>
      </c>
    </row>
    <row r="190" spans="1:15">
      <c r="A190" s="5">
        <v>46148</v>
      </c>
      <c r="B190" s="6" t="str">
        <f t="shared" si="18"/>
        <v>NO</v>
      </c>
      <c r="C190">
        <f>_xlfn.XLOOKUP(A190,Weather_clean_data!A:A,Weather_clean_data!B:B,0)</f>
        <v>14</v>
      </c>
      <c r="D190">
        <f>_xlfn.XLOOKUP(A190, Weather_clean_data!A:A, Weather_clean_data!C:C, 0)</f>
        <v>0</v>
      </c>
      <c r="E190">
        <f t="shared" si="19"/>
        <v>60</v>
      </c>
      <c r="F190">
        <f t="shared" si="20"/>
        <v>60</v>
      </c>
      <c r="G190">
        <f t="shared" si="21"/>
        <v>0</v>
      </c>
      <c r="H190" s="7">
        <f t="shared" si="22"/>
        <v>0</v>
      </c>
      <c r="I190">
        <f t="shared" si="23"/>
        <v>40</v>
      </c>
      <c r="J190">
        <f t="shared" si="24"/>
        <v>40</v>
      </c>
      <c r="K190">
        <f t="shared" si="25"/>
        <v>0</v>
      </c>
      <c r="L190" s="7">
        <f t="shared" si="26"/>
        <v>0</v>
      </c>
      <c r="M190" t="s">
        <v>17</v>
      </c>
      <c r="N190">
        <v>2026</v>
      </c>
      <c r="O190" t="s">
        <v>26</v>
      </c>
    </row>
    <row r="191" spans="1:15">
      <c r="A191" s="5">
        <v>46149</v>
      </c>
      <c r="B191" s="6" t="str">
        <f t="shared" si="18"/>
        <v>NO</v>
      </c>
      <c r="C191">
        <f>_xlfn.XLOOKUP(A191,Weather_clean_data!A:A,Weather_clean_data!B:B,0)</f>
        <v>16</v>
      </c>
      <c r="D191">
        <f>_xlfn.XLOOKUP(A191, Weather_clean_data!A:A, Weather_clean_data!C:C, 0)</f>
        <v>1</v>
      </c>
      <c r="E191">
        <f t="shared" si="19"/>
        <v>60</v>
      </c>
      <c r="F191">
        <f t="shared" si="20"/>
        <v>60</v>
      </c>
      <c r="G191">
        <f t="shared" si="21"/>
        <v>0</v>
      </c>
      <c r="H191" s="7">
        <f t="shared" si="22"/>
        <v>0</v>
      </c>
      <c r="I191">
        <f t="shared" si="23"/>
        <v>40</v>
      </c>
      <c r="J191">
        <f t="shared" si="24"/>
        <v>40</v>
      </c>
      <c r="K191">
        <f t="shared" si="25"/>
        <v>0</v>
      </c>
      <c r="L191" s="7">
        <f t="shared" si="26"/>
        <v>0</v>
      </c>
      <c r="M191" t="s">
        <v>17</v>
      </c>
      <c r="N191">
        <v>2026</v>
      </c>
      <c r="O191" t="s">
        <v>26</v>
      </c>
    </row>
    <row r="192" spans="1:15">
      <c r="A192" s="5">
        <v>46150</v>
      </c>
      <c r="B192" s="6" t="str">
        <f t="shared" si="18"/>
        <v>NO</v>
      </c>
      <c r="C192">
        <f>_xlfn.XLOOKUP(A192,Weather_clean_data!A:A,Weather_clean_data!B:B,0)</f>
        <v>18</v>
      </c>
      <c r="D192">
        <f>_xlfn.XLOOKUP(A192, Weather_clean_data!A:A, Weather_clean_data!C:C, 0)</f>
        <v>3.8</v>
      </c>
      <c r="E192">
        <f t="shared" si="19"/>
        <v>60</v>
      </c>
      <c r="F192">
        <f t="shared" si="20"/>
        <v>60</v>
      </c>
      <c r="G192">
        <f t="shared" si="21"/>
        <v>0</v>
      </c>
      <c r="H192" s="7">
        <f t="shared" si="22"/>
        <v>0</v>
      </c>
      <c r="I192">
        <f t="shared" si="23"/>
        <v>40</v>
      </c>
      <c r="J192">
        <f t="shared" si="24"/>
        <v>40</v>
      </c>
      <c r="K192">
        <f t="shared" si="25"/>
        <v>0</v>
      </c>
      <c r="L192" s="7">
        <f t="shared" si="26"/>
        <v>0</v>
      </c>
      <c r="M192" t="s">
        <v>16</v>
      </c>
      <c r="N192">
        <v>2026</v>
      </c>
      <c r="O192" t="s">
        <v>26</v>
      </c>
    </row>
    <row r="193" spans="1:15">
      <c r="A193" s="5">
        <v>46151</v>
      </c>
      <c r="B193" s="6" t="str">
        <f t="shared" si="18"/>
        <v>YES</v>
      </c>
      <c r="C193">
        <f>_xlfn.XLOOKUP(A193,Weather_clean_data!A:A,Weather_clean_data!B:B,0)</f>
        <v>20</v>
      </c>
      <c r="D193">
        <f>_xlfn.XLOOKUP(A193, Weather_clean_data!A:A, Weather_clean_data!C:C, 0)</f>
        <v>0</v>
      </c>
      <c r="E193">
        <f t="shared" si="19"/>
        <v>150</v>
      </c>
      <c r="F193">
        <f t="shared" si="20"/>
        <v>150</v>
      </c>
      <c r="G193">
        <f t="shared" si="21"/>
        <v>0</v>
      </c>
      <c r="H193" s="7">
        <f t="shared" si="22"/>
        <v>0</v>
      </c>
      <c r="I193">
        <f t="shared" si="23"/>
        <v>100</v>
      </c>
      <c r="J193">
        <f t="shared" si="24"/>
        <v>100</v>
      </c>
      <c r="K193">
        <f t="shared" si="25"/>
        <v>0</v>
      </c>
      <c r="L193" s="7">
        <f t="shared" si="26"/>
        <v>0</v>
      </c>
      <c r="M193" t="s">
        <v>16</v>
      </c>
      <c r="N193">
        <v>2026</v>
      </c>
      <c r="O193" t="s">
        <v>26</v>
      </c>
    </row>
    <row r="194" spans="1:15">
      <c r="A194" s="5">
        <v>46152</v>
      </c>
      <c r="B194" s="6" t="str">
        <f t="shared" si="18"/>
        <v>YES</v>
      </c>
      <c r="C194">
        <f>_xlfn.XLOOKUP(A194,Weather_clean_data!A:A,Weather_clean_data!B:B,0)</f>
        <v>14</v>
      </c>
      <c r="D194">
        <f>_xlfn.XLOOKUP(A194, Weather_clean_data!A:A, Weather_clean_data!C:C, 0)</f>
        <v>0</v>
      </c>
      <c r="E194">
        <f t="shared" si="19"/>
        <v>150</v>
      </c>
      <c r="F194">
        <f t="shared" si="20"/>
        <v>150</v>
      </c>
      <c r="G194">
        <f t="shared" si="21"/>
        <v>0</v>
      </c>
      <c r="H194" s="7">
        <f t="shared" si="22"/>
        <v>0</v>
      </c>
      <c r="I194">
        <f t="shared" si="23"/>
        <v>100</v>
      </c>
      <c r="J194">
        <f t="shared" si="24"/>
        <v>100</v>
      </c>
      <c r="K194">
        <f t="shared" si="25"/>
        <v>0</v>
      </c>
      <c r="L194" s="7">
        <f t="shared" si="26"/>
        <v>0</v>
      </c>
      <c r="M194" t="s">
        <v>16</v>
      </c>
      <c r="N194">
        <v>2026</v>
      </c>
      <c r="O194" t="s">
        <v>26</v>
      </c>
    </row>
    <row r="195" spans="1:15">
      <c r="A195" s="5">
        <v>46153</v>
      </c>
      <c r="B195" s="6" t="str">
        <f t="shared" ref="B195:B245" si="27">IF( WEEKDAY(A195, 2)  &gt;  5, "YES", "NO")</f>
        <v>NO</v>
      </c>
      <c r="C195">
        <f>_xlfn.XLOOKUP(A195,Weather_clean_data!A:A,Weather_clean_data!B:B,0)</f>
        <v>13</v>
      </c>
      <c r="D195">
        <f>_xlfn.XLOOKUP(A195, Weather_clean_data!A:A, Weather_clean_data!C:C, 0)</f>
        <v>0.5</v>
      </c>
      <c r="E195">
        <f t="shared" ref="E195:E245" si="28">IF(B195="Yes", 150, 60)</f>
        <v>60</v>
      </c>
      <c r="F195">
        <f t="shared" ref="F195:F245" si="29">IF(C195&gt;30,E195*0.15,IF(D195&gt;5,IF(B195="YES",36,18),E195))</f>
        <v>60</v>
      </c>
      <c r="G195">
        <f t="shared" ref="G195:G245" si="30">E195-F195</f>
        <v>0</v>
      </c>
      <c r="H195" s="7">
        <f t="shared" ref="H195:H245" si="31">G195 * 7.2</f>
        <v>0</v>
      </c>
      <c r="I195">
        <f t="shared" ref="I195:I245" si="32">IF(B195="Yes", 100, 40)</f>
        <v>40</v>
      </c>
      <c r="J195">
        <f t="shared" ref="J195:J245" si="33">IF(C195&gt;30,I195*0.15,IF(D195&gt;5,IF(B195="YES",24,12),I195))</f>
        <v>40</v>
      </c>
      <c r="K195">
        <f t="shared" ref="K195:K245" si="34">I195-J195</f>
        <v>0</v>
      </c>
      <c r="L195" s="7">
        <f t="shared" ref="L195:L245" si="35">K195 * 4</f>
        <v>0</v>
      </c>
      <c r="M195" t="s">
        <v>17</v>
      </c>
      <c r="N195">
        <v>2026</v>
      </c>
      <c r="O195" t="s">
        <v>26</v>
      </c>
    </row>
    <row r="196" spans="1:15">
      <c r="A196" s="5">
        <v>46154</v>
      </c>
      <c r="B196" s="6" t="str">
        <f t="shared" si="27"/>
        <v>NO</v>
      </c>
      <c r="C196">
        <f>_xlfn.XLOOKUP(A196,Weather_clean_data!A:A,Weather_clean_data!B:B,0)</f>
        <v>16</v>
      </c>
      <c r="D196">
        <f>_xlfn.XLOOKUP(A196, Weather_clean_data!A:A, Weather_clean_data!C:C, 0)</f>
        <v>0.1</v>
      </c>
      <c r="E196">
        <f t="shared" si="28"/>
        <v>60</v>
      </c>
      <c r="F196">
        <f t="shared" si="29"/>
        <v>60</v>
      </c>
      <c r="G196">
        <f t="shared" si="30"/>
        <v>0</v>
      </c>
      <c r="H196" s="7">
        <f t="shared" si="31"/>
        <v>0</v>
      </c>
      <c r="I196">
        <f t="shared" si="32"/>
        <v>40</v>
      </c>
      <c r="J196">
        <f t="shared" si="33"/>
        <v>40</v>
      </c>
      <c r="K196">
        <f t="shared" si="34"/>
        <v>0</v>
      </c>
      <c r="L196" s="7">
        <f t="shared" si="35"/>
        <v>0</v>
      </c>
      <c r="M196" t="s">
        <v>17</v>
      </c>
      <c r="N196">
        <v>2026</v>
      </c>
      <c r="O196" t="s">
        <v>26</v>
      </c>
    </row>
    <row r="197" spans="1:15">
      <c r="A197" s="5">
        <v>46155</v>
      </c>
      <c r="B197" s="6" t="str">
        <f t="shared" si="27"/>
        <v>NO</v>
      </c>
      <c r="C197">
        <f>_xlfn.XLOOKUP(A197,Weather_clean_data!A:A,Weather_clean_data!B:B,0)</f>
        <v>13</v>
      </c>
      <c r="D197">
        <f>_xlfn.XLOOKUP(A197, Weather_clean_data!A:A, Weather_clean_data!C:C, 0)</f>
        <v>1.4</v>
      </c>
      <c r="E197">
        <f t="shared" si="28"/>
        <v>60</v>
      </c>
      <c r="F197">
        <f t="shared" si="29"/>
        <v>60</v>
      </c>
      <c r="G197">
        <f t="shared" si="30"/>
        <v>0</v>
      </c>
      <c r="H197" s="7">
        <f t="shared" si="31"/>
        <v>0</v>
      </c>
      <c r="I197">
        <f t="shared" si="32"/>
        <v>40</v>
      </c>
      <c r="J197">
        <f t="shared" si="33"/>
        <v>40</v>
      </c>
      <c r="K197">
        <f t="shared" si="34"/>
        <v>0</v>
      </c>
      <c r="L197" s="7">
        <f t="shared" si="35"/>
        <v>0</v>
      </c>
      <c r="M197" t="s">
        <v>17</v>
      </c>
      <c r="N197">
        <v>2026</v>
      </c>
      <c r="O197" t="s">
        <v>26</v>
      </c>
    </row>
    <row r="198" spans="1:15">
      <c r="A198" s="5">
        <v>46156</v>
      </c>
      <c r="B198" s="6" t="str">
        <f t="shared" si="27"/>
        <v>NO</v>
      </c>
      <c r="C198">
        <f>_xlfn.XLOOKUP(A198,Weather_clean_data!A:A,Weather_clean_data!B:B,0)</f>
        <v>13</v>
      </c>
      <c r="D198">
        <f>_xlfn.XLOOKUP(A198, Weather_clean_data!A:A, Weather_clean_data!C:C, 0)</f>
        <v>2.8</v>
      </c>
      <c r="E198">
        <f t="shared" si="28"/>
        <v>60</v>
      </c>
      <c r="F198">
        <f t="shared" si="29"/>
        <v>60</v>
      </c>
      <c r="G198">
        <f t="shared" si="30"/>
        <v>0</v>
      </c>
      <c r="H198" s="7">
        <f t="shared" si="31"/>
        <v>0</v>
      </c>
      <c r="I198">
        <f t="shared" si="32"/>
        <v>40</v>
      </c>
      <c r="J198">
        <f t="shared" si="33"/>
        <v>40</v>
      </c>
      <c r="K198">
        <f t="shared" si="34"/>
        <v>0</v>
      </c>
      <c r="L198" s="7">
        <f t="shared" si="35"/>
        <v>0</v>
      </c>
      <c r="M198" t="s">
        <v>17</v>
      </c>
      <c r="N198">
        <v>2026</v>
      </c>
      <c r="O198" t="s">
        <v>26</v>
      </c>
    </row>
    <row r="199" spans="1:15">
      <c r="A199" s="5">
        <v>46157</v>
      </c>
      <c r="B199" s="6" t="str">
        <f t="shared" si="27"/>
        <v>NO</v>
      </c>
      <c r="C199">
        <f>_xlfn.XLOOKUP(A199,Weather_clean_data!A:A,Weather_clean_data!B:B,0)</f>
        <v>13</v>
      </c>
      <c r="D199">
        <f>_xlfn.XLOOKUP(A199, Weather_clean_data!A:A, Weather_clean_data!C:C, 0)</f>
        <v>0.1</v>
      </c>
      <c r="E199">
        <f t="shared" si="28"/>
        <v>60</v>
      </c>
      <c r="F199">
        <f t="shared" si="29"/>
        <v>60</v>
      </c>
      <c r="G199">
        <f t="shared" si="30"/>
        <v>0</v>
      </c>
      <c r="H199" s="7">
        <f t="shared" si="31"/>
        <v>0</v>
      </c>
      <c r="I199">
        <f t="shared" si="32"/>
        <v>40</v>
      </c>
      <c r="J199">
        <f t="shared" si="33"/>
        <v>40</v>
      </c>
      <c r="K199">
        <f t="shared" si="34"/>
        <v>0</v>
      </c>
      <c r="L199" s="7">
        <f t="shared" si="35"/>
        <v>0</v>
      </c>
      <c r="M199" t="s">
        <v>16</v>
      </c>
      <c r="N199">
        <v>2026</v>
      </c>
      <c r="O199" t="s">
        <v>26</v>
      </c>
    </row>
    <row r="200" spans="1:15">
      <c r="A200" s="5">
        <v>46158</v>
      </c>
      <c r="B200" s="6" t="str">
        <f t="shared" si="27"/>
        <v>YES</v>
      </c>
      <c r="C200">
        <f>_xlfn.XLOOKUP(A200,Weather_clean_data!A:A,Weather_clean_data!B:B,0)</f>
        <v>14</v>
      </c>
      <c r="D200">
        <f>_xlfn.XLOOKUP(A200, Weather_clean_data!A:A, Weather_clean_data!C:C, 0)</f>
        <v>2.2000000000000002</v>
      </c>
      <c r="E200">
        <f t="shared" si="28"/>
        <v>150</v>
      </c>
      <c r="F200">
        <f t="shared" si="29"/>
        <v>150</v>
      </c>
      <c r="G200">
        <f t="shared" si="30"/>
        <v>0</v>
      </c>
      <c r="H200" s="7">
        <f t="shared" si="31"/>
        <v>0</v>
      </c>
      <c r="I200">
        <f t="shared" si="32"/>
        <v>100</v>
      </c>
      <c r="J200">
        <f t="shared" si="33"/>
        <v>100</v>
      </c>
      <c r="K200">
        <f t="shared" si="34"/>
        <v>0</v>
      </c>
      <c r="L200" s="7">
        <f t="shared" si="35"/>
        <v>0</v>
      </c>
      <c r="M200" t="s">
        <v>16</v>
      </c>
      <c r="N200">
        <v>2026</v>
      </c>
      <c r="O200" t="s">
        <v>26</v>
      </c>
    </row>
    <row r="201" spans="1:15">
      <c r="A201" s="5">
        <v>46159</v>
      </c>
      <c r="B201" s="6" t="str">
        <f t="shared" si="27"/>
        <v>YES</v>
      </c>
      <c r="C201">
        <f>_xlfn.XLOOKUP(A201,Weather_clean_data!A:A,Weather_clean_data!B:B,0)</f>
        <v>14</v>
      </c>
      <c r="D201">
        <f>_xlfn.XLOOKUP(A201, Weather_clean_data!A:A, Weather_clean_data!C:C, 0)</f>
        <v>0.6</v>
      </c>
      <c r="E201">
        <f t="shared" si="28"/>
        <v>150</v>
      </c>
      <c r="F201">
        <f t="shared" si="29"/>
        <v>150</v>
      </c>
      <c r="G201">
        <f t="shared" si="30"/>
        <v>0</v>
      </c>
      <c r="H201" s="7">
        <f t="shared" si="31"/>
        <v>0</v>
      </c>
      <c r="I201">
        <f t="shared" si="32"/>
        <v>100</v>
      </c>
      <c r="J201">
        <f t="shared" si="33"/>
        <v>100</v>
      </c>
      <c r="K201">
        <f t="shared" si="34"/>
        <v>0</v>
      </c>
      <c r="L201" s="7">
        <f t="shared" si="35"/>
        <v>0</v>
      </c>
      <c r="M201" t="s">
        <v>16</v>
      </c>
      <c r="N201">
        <v>2026</v>
      </c>
      <c r="O201" t="s">
        <v>26</v>
      </c>
    </row>
    <row r="202" spans="1:15">
      <c r="A202" s="5">
        <v>46160</v>
      </c>
      <c r="B202" s="6" t="str">
        <f t="shared" si="27"/>
        <v>NO</v>
      </c>
      <c r="C202">
        <f>_xlfn.XLOOKUP(A202,Weather_clean_data!A:A,Weather_clean_data!B:B,0)</f>
        <v>13</v>
      </c>
      <c r="D202">
        <f>_xlfn.XLOOKUP(A202, Weather_clean_data!A:A, Weather_clean_data!C:C, 0)</f>
        <v>5.3</v>
      </c>
      <c r="E202">
        <f t="shared" si="28"/>
        <v>60</v>
      </c>
      <c r="F202">
        <f t="shared" si="29"/>
        <v>18</v>
      </c>
      <c r="G202">
        <f t="shared" si="30"/>
        <v>42</v>
      </c>
      <c r="H202" s="7">
        <f t="shared" si="31"/>
        <v>302.40000000000003</v>
      </c>
      <c r="I202">
        <f t="shared" si="32"/>
        <v>40</v>
      </c>
      <c r="J202">
        <f t="shared" si="33"/>
        <v>12</v>
      </c>
      <c r="K202">
        <f t="shared" si="34"/>
        <v>28</v>
      </c>
      <c r="L202" s="7">
        <f t="shared" si="35"/>
        <v>112</v>
      </c>
      <c r="M202" t="s">
        <v>18</v>
      </c>
      <c r="N202">
        <v>2026</v>
      </c>
      <c r="O202" t="s">
        <v>26</v>
      </c>
    </row>
    <row r="203" spans="1:15">
      <c r="A203" s="5">
        <v>46161</v>
      </c>
      <c r="B203" s="6" t="str">
        <f t="shared" si="27"/>
        <v>NO</v>
      </c>
      <c r="C203">
        <f>_xlfn.XLOOKUP(A203,Weather_clean_data!A:A,Weather_clean_data!B:B,0)</f>
        <v>16</v>
      </c>
      <c r="D203">
        <f>_xlfn.XLOOKUP(A203, Weather_clean_data!A:A, Weather_clean_data!C:C, 0)</f>
        <v>7</v>
      </c>
      <c r="E203">
        <f t="shared" si="28"/>
        <v>60</v>
      </c>
      <c r="F203">
        <f t="shared" si="29"/>
        <v>18</v>
      </c>
      <c r="G203">
        <f t="shared" si="30"/>
        <v>42</v>
      </c>
      <c r="H203" s="7">
        <f t="shared" si="31"/>
        <v>302.40000000000003</v>
      </c>
      <c r="I203">
        <f t="shared" si="32"/>
        <v>40</v>
      </c>
      <c r="J203">
        <f t="shared" si="33"/>
        <v>12</v>
      </c>
      <c r="K203">
        <f t="shared" si="34"/>
        <v>28</v>
      </c>
      <c r="L203" s="7">
        <f t="shared" si="35"/>
        <v>112</v>
      </c>
      <c r="M203" t="s">
        <v>18</v>
      </c>
      <c r="N203">
        <v>2026</v>
      </c>
      <c r="O203" t="s">
        <v>26</v>
      </c>
    </row>
    <row r="204" spans="1:15">
      <c r="A204" s="5">
        <v>46162</v>
      </c>
      <c r="B204" s="6" t="str">
        <f t="shared" si="27"/>
        <v>NO</v>
      </c>
      <c r="C204">
        <f>_xlfn.XLOOKUP(A204,Weather_clean_data!A:A,Weather_clean_data!B:B,0)</f>
        <v>17</v>
      </c>
      <c r="D204">
        <f>_xlfn.XLOOKUP(A204, Weather_clean_data!A:A, Weather_clean_data!C:C, 0)</f>
        <v>0.8</v>
      </c>
      <c r="E204">
        <f t="shared" si="28"/>
        <v>60</v>
      </c>
      <c r="F204">
        <f t="shared" si="29"/>
        <v>60</v>
      </c>
      <c r="G204">
        <f t="shared" si="30"/>
        <v>0</v>
      </c>
      <c r="H204" s="7">
        <f t="shared" si="31"/>
        <v>0</v>
      </c>
      <c r="I204">
        <f t="shared" si="32"/>
        <v>40</v>
      </c>
      <c r="J204">
        <f t="shared" si="33"/>
        <v>40</v>
      </c>
      <c r="K204">
        <f t="shared" si="34"/>
        <v>0</v>
      </c>
      <c r="L204" s="7">
        <f t="shared" si="35"/>
        <v>0</v>
      </c>
      <c r="M204" t="s">
        <v>17</v>
      </c>
      <c r="N204">
        <v>2026</v>
      </c>
      <c r="O204" t="s">
        <v>26</v>
      </c>
    </row>
    <row r="205" spans="1:15">
      <c r="A205" s="5">
        <v>46163</v>
      </c>
      <c r="B205" s="6" t="str">
        <f t="shared" si="27"/>
        <v>NO</v>
      </c>
      <c r="C205">
        <f>_xlfn.XLOOKUP(A205,Weather_clean_data!A:A,Weather_clean_data!B:B,0)</f>
        <v>22</v>
      </c>
      <c r="D205">
        <f>_xlfn.XLOOKUP(A205, Weather_clean_data!A:A, Weather_clean_data!C:C, 0)</f>
        <v>0</v>
      </c>
      <c r="E205">
        <f t="shared" si="28"/>
        <v>60</v>
      </c>
      <c r="F205">
        <f t="shared" si="29"/>
        <v>60</v>
      </c>
      <c r="G205">
        <f t="shared" si="30"/>
        <v>0</v>
      </c>
      <c r="H205" s="7">
        <f t="shared" si="31"/>
        <v>0</v>
      </c>
      <c r="I205">
        <f t="shared" si="32"/>
        <v>40</v>
      </c>
      <c r="J205">
        <f t="shared" si="33"/>
        <v>40</v>
      </c>
      <c r="K205">
        <f t="shared" si="34"/>
        <v>0</v>
      </c>
      <c r="L205" s="7">
        <f t="shared" si="35"/>
        <v>0</v>
      </c>
      <c r="M205" t="s">
        <v>17</v>
      </c>
      <c r="N205">
        <v>2026</v>
      </c>
      <c r="O205" t="s">
        <v>26</v>
      </c>
    </row>
    <row r="206" spans="1:15">
      <c r="A206" s="5">
        <v>46164</v>
      </c>
      <c r="B206" s="6" t="str">
        <f t="shared" si="27"/>
        <v>NO</v>
      </c>
      <c r="C206">
        <f>_xlfn.XLOOKUP(A206,Weather_clean_data!A:A,Weather_clean_data!B:B,0)</f>
        <v>27</v>
      </c>
      <c r="D206">
        <f>_xlfn.XLOOKUP(A206, Weather_clean_data!A:A, Weather_clean_data!C:C, 0)</f>
        <v>0</v>
      </c>
      <c r="E206">
        <f t="shared" si="28"/>
        <v>60</v>
      </c>
      <c r="F206">
        <f t="shared" si="29"/>
        <v>60</v>
      </c>
      <c r="G206">
        <f t="shared" si="30"/>
        <v>0</v>
      </c>
      <c r="H206" s="7">
        <f t="shared" si="31"/>
        <v>0</v>
      </c>
      <c r="I206">
        <f t="shared" si="32"/>
        <v>40</v>
      </c>
      <c r="J206">
        <f t="shared" si="33"/>
        <v>40</v>
      </c>
      <c r="K206">
        <f t="shared" si="34"/>
        <v>0</v>
      </c>
      <c r="L206" s="7">
        <f t="shared" si="35"/>
        <v>0</v>
      </c>
      <c r="M206" t="s">
        <v>16</v>
      </c>
      <c r="N206">
        <v>2026</v>
      </c>
      <c r="O206" t="s">
        <v>26</v>
      </c>
    </row>
    <row r="207" spans="1:15">
      <c r="A207" s="5">
        <v>46165</v>
      </c>
      <c r="B207" s="6" t="str">
        <f t="shared" si="27"/>
        <v>YES</v>
      </c>
      <c r="C207">
        <f>_xlfn.XLOOKUP(A207,Weather_clean_data!A:A,Weather_clean_data!B:B,0)</f>
        <v>24</v>
      </c>
      <c r="D207">
        <f>_xlfn.XLOOKUP(A207, Weather_clean_data!A:A, Weather_clean_data!C:C, 0)</f>
        <v>0</v>
      </c>
      <c r="E207">
        <f t="shared" si="28"/>
        <v>150</v>
      </c>
      <c r="F207">
        <f t="shared" si="29"/>
        <v>150</v>
      </c>
      <c r="G207">
        <f t="shared" si="30"/>
        <v>0</v>
      </c>
      <c r="H207" s="7">
        <f t="shared" si="31"/>
        <v>0</v>
      </c>
      <c r="I207">
        <f t="shared" si="32"/>
        <v>100</v>
      </c>
      <c r="J207">
        <f t="shared" si="33"/>
        <v>100</v>
      </c>
      <c r="K207">
        <f t="shared" si="34"/>
        <v>0</v>
      </c>
      <c r="L207" s="7">
        <f t="shared" si="35"/>
        <v>0</v>
      </c>
      <c r="M207" t="s">
        <v>16</v>
      </c>
      <c r="N207">
        <v>2026</v>
      </c>
      <c r="O207" t="s">
        <v>26</v>
      </c>
    </row>
    <row r="208" spans="1:15">
      <c r="A208" s="5">
        <v>46166</v>
      </c>
      <c r="B208" s="6" t="str">
        <f t="shared" si="27"/>
        <v>YES</v>
      </c>
      <c r="C208">
        <f>_xlfn.XLOOKUP(A208,Weather_clean_data!A:A,Weather_clean_data!B:B,0)</f>
        <v>28</v>
      </c>
      <c r="D208">
        <f>_xlfn.XLOOKUP(A208, Weather_clean_data!A:A, Weather_clean_data!C:C, 0)</f>
        <v>0</v>
      </c>
      <c r="E208">
        <f t="shared" si="28"/>
        <v>150</v>
      </c>
      <c r="F208">
        <f t="shared" si="29"/>
        <v>150</v>
      </c>
      <c r="G208">
        <f t="shared" si="30"/>
        <v>0</v>
      </c>
      <c r="H208" s="7">
        <f t="shared" si="31"/>
        <v>0</v>
      </c>
      <c r="I208">
        <f t="shared" si="32"/>
        <v>100</v>
      </c>
      <c r="J208">
        <f t="shared" si="33"/>
        <v>100</v>
      </c>
      <c r="K208">
        <f t="shared" si="34"/>
        <v>0</v>
      </c>
      <c r="L208" s="7">
        <f t="shared" si="35"/>
        <v>0</v>
      </c>
      <c r="M208" t="s">
        <v>16</v>
      </c>
      <c r="N208">
        <v>2026</v>
      </c>
      <c r="O208" t="s">
        <v>26</v>
      </c>
    </row>
    <row r="209" spans="1:15">
      <c r="A209" s="5">
        <v>46167</v>
      </c>
      <c r="B209" s="6" t="s">
        <v>12</v>
      </c>
      <c r="C209">
        <f>_xlfn.XLOOKUP(A209,Weather_clean_data!A:A,Weather_clean_data!B:B,0)</f>
        <v>33</v>
      </c>
      <c r="D209">
        <f>_xlfn.XLOOKUP(A209, Weather_clean_data!A:A, Weather_clean_data!C:C, 0)</f>
        <v>0</v>
      </c>
      <c r="E209">
        <f t="shared" si="28"/>
        <v>150</v>
      </c>
      <c r="F209">
        <f t="shared" si="29"/>
        <v>22.5</v>
      </c>
      <c r="G209">
        <f t="shared" si="30"/>
        <v>127.5</v>
      </c>
      <c r="H209" s="7">
        <f t="shared" si="31"/>
        <v>918</v>
      </c>
      <c r="I209">
        <f t="shared" si="32"/>
        <v>100</v>
      </c>
      <c r="J209">
        <f t="shared" si="33"/>
        <v>15</v>
      </c>
      <c r="K209">
        <f t="shared" si="34"/>
        <v>85</v>
      </c>
      <c r="L209" s="7">
        <f t="shared" si="35"/>
        <v>340</v>
      </c>
      <c r="M209" t="s">
        <v>19</v>
      </c>
      <c r="N209">
        <v>2026</v>
      </c>
      <c r="O209" t="s">
        <v>26</v>
      </c>
    </row>
    <row r="210" spans="1:15">
      <c r="A210" s="5">
        <v>46168</v>
      </c>
      <c r="B210" s="6" t="str">
        <f t="shared" si="27"/>
        <v>NO</v>
      </c>
      <c r="C210">
        <f>_xlfn.XLOOKUP(A210,Weather_clean_data!A:A,Weather_clean_data!B:B,0)</f>
        <v>32</v>
      </c>
      <c r="D210">
        <f>_xlfn.XLOOKUP(A210, Weather_clean_data!A:A, Weather_clean_data!C:C, 0)</f>
        <v>0</v>
      </c>
      <c r="E210">
        <f t="shared" si="28"/>
        <v>60</v>
      </c>
      <c r="F210">
        <f t="shared" si="29"/>
        <v>9</v>
      </c>
      <c r="G210">
        <f t="shared" si="30"/>
        <v>51</v>
      </c>
      <c r="H210" s="7">
        <f t="shared" si="31"/>
        <v>367.2</v>
      </c>
      <c r="I210">
        <f t="shared" si="32"/>
        <v>40</v>
      </c>
      <c r="J210">
        <f t="shared" si="33"/>
        <v>6</v>
      </c>
      <c r="K210">
        <f t="shared" si="34"/>
        <v>34</v>
      </c>
      <c r="L210" s="7">
        <f t="shared" si="35"/>
        <v>136</v>
      </c>
      <c r="M210" t="s">
        <v>19</v>
      </c>
      <c r="N210">
        <v>2026</v>
      </c>
      <c r="O210" t="s">
        <v>26</v>
      </c>
    </row>
    <row r="211" spans="1:15">
      <c r="A211" s="5">
        <v>46169</v>
      </c>
      <c r="B211" s="6" t="str">
        <f t="shared" si="27"/>
        <v>NO</v>
      </c>
      <c r="C211">
        <f>_xlfn.XLOOKUP(A211,Weather_clean_data!A:A,Weather_clean_data!B:B,0)</f>
        <v>29</v>
      </c>
      <c r="D211">
        <f>_xlfn.XLOOKUP(A211, Weather_clean_data!A:A, Weather_clean_data!C:C, 0)</f>
        <v>4.5</v>
      </c>
      <c r="E211">
        <f t="shared" si="28"/>
        <v>60</v>
      </c>
      <c r="F211">
        <f t="shared" si="29"/>
        <v>60</v>
      </c>
      <c r="G211">
        <f t="shared" si="30"/>
        <v>0</v>
      </c>
      <c r="H211" s="7">
        <f t="shared" si="31"/>
        <v>0</v>
      </c>
      <c r="I211">
        <f t="shared" si="32"/>
        <v>40</v>
      </c>
      <c r="J211">
        <f t="shared" si="33"/>
        <v>40</v>
      </c>
      <c r="K211">
        <f t="shared" si="34"/>
        <v>0</v>
      </c>
      <c r="L211" s="7">
        <f t="shared" si="35"/>
        <v>0</v>
      </c>
      <c r="M211" t="s">
        <v>17</v>
      </c>
      <c r="N211">
        <v>2026</v>
      </c>
      <c r="O211" t="s">
        <v>26</v>
      </c>
    </row>
    <row r="212" spans="1:15">
      <c r="A212" s="5">
        <v>46170</v>
      </c>
      <c r="B212" s="6" t="str">
        <f t="shared" si="27"/>
        <v>NO</v>
      </c>
      <c r="C212">
        <f>_xlfn.XLOOKUP(A212,Weather_clean_data!A:A,Weather_clean_data!B:B,0)</f>
        <v>30</v>
      </c>
      <c r="D212">
        <f>_xlfn.XLOOKUP(A212, Weather_clean_data!A:A, Weather_clean_data!C:C, 0)</f>
        <v>0.5</v>
      </c>
      <c r="E212">
        <f t="shared" si="28"/>
        <v>60</v>
      </c>
      <c r="F212">
        <f t="shared" si="29"/>
        <v>60</v>
      </c>
      <c r="G212">
        <f t="shared" si="30"/>
        <v>0</v>
      </c>
      <c r="H212" s="7">
        <f t="shared" si="31"/>
        <v>0</v>
      </c>
      <c r="I212">
        <f t="shared" si="32"/>
        <v>40</v>
      </c>
      <c r="J212">
        <f t="shared" si="33"/>
        <v>40</v>
      </c>
      <c r="K212">
        <f t="shared" si="34"/>
        <v>0</v>
      </c>
      <c r="L212" s="7">
        <f t="shared" si="35"/>
        <v>0</v>
      </c>
      <c r="M212" t="s">
        <v>17</v>
      </c>
      <c r="N212">
        <v>2026</v>
      </c>
      <c r="O212" t="s">
        <v>26</v>
      </c>
    </row>
    <row r="213" spans="1:15">
      <c r="A213" s="5">
        <v>46171</v>
      </c>
      <c r="B213" s="6" t="str">
        <f t="shared" si="27"/>
        <v>NO</v>
      </c>
      <c r="C213">
        <f>_xlfn.XLOOKUP(A213,Weather_clean_data!A:A,Weather_clean_data!B:B,0)</f>
        <v>24</v>
      </c>
      <c r="D213">
        <f>_xlfn.XLOOKUP(A213, Weather_clean_data!A:A, Weather_clean_data!C:C, 0)</f>
        <v>0.3</v>
      </c>
      <c r="E213">
        <f t="shared" si="28"/>
        <v>60</v>
      </c>
      <c r="F213">
        <f t="shared" si="29"/>
        <v>60</v>
      </c>
      <c r="G213">
        <f t="shared" si="30"/>
        <v>0</v>
      </c>
      <c r="H213" s="7">
        <f t="shared" si="31"/>
        <v>0</v>
      </c>
      <c r="I213">
        <f t="shared" si="32"/>
        <v>40</v>
      </c>
      <c r="J213">
        <f t="shared" si="33"/>
        <v>40</v>
      </c>
      <c r="K213">
        <f t="shared" si="34"/>
        <v>0</v>
      </c>
      <c r="L213" s="7">
        <f t="shared" si="35"/>
        <v>0</v>
      </c>
      <c r="M213" t="s">
        <v>16</v>
      </c>
      <c r="N213">
        <v>2026</v>
      </c>
      <c r="O213" t="s">
        <v>26</v>
      </c>
    </row>
    <row r="214" spans="1:15">
      <c r="A214" s="5">
        <v>46172</v>
      </c>
      <c r="B214" s="6" t="str">
        <f t="shared" si="27"/>
        <v>YES</v>
      </c>
      <c r="C214">
        <f>_xlfn.XLOOKUP(A214,Weather_clean_data!A:A,Weather_clean_data!B:B,0)</f>
        <v>25</v>
      </c>
      <c r="D214">
        <f>_xlfn.XLOOKUP(A214, Weather_clean_data!A:A, Weather_clean_data!C:C, 0)</f>
        <v>0</v>
      </c>
      <c r="E214">
        <f t="shared" si="28"/>
        <v>150</v>
      </c>
      <c r="F214">
        <f t="shared" si="29"/>
        <v>150</v>
      </c>
      <c r="G214">
        <f t="shared" si="30"/>
        <v>0</v>
      </c>
      <c r="H214" s="7">
        <f t="shared" si="31"/>
        <v>0</v>
      </c>
      <c r="I214">
        <f t="shared" si="32"/>
        <v>100</v>
      </c>
      <c r="J214">
        <f t="shared" si="33"/>
        <v>100</v>
      </c>
      <c r="K214">
        <f t="shared" si="34"/>
        <v>0</v>
      </c>
      <c r="L214" s="7">
        <f t="shared" si="35"/>
        <v>0</v>
      </c>
      <c r="M214" t="s">
        <v>16</v>
      </c>
      <c r="N214">
        <v>2026</v>
      </c>
      <c r="O214" t="s">
        <v>26</v>
      </c>
    </row>
    <row r="215" spans="1:15">
      <c r="A215" s="5">
        <v>46173</v>
      </c>
      <c r="B215" s="6" t="str">
        <f t="shared" si="27"/>
        <v>YES</v>
      </c>
      <c r="C215">
        <f>_xlfn.XLOOKUP(A215,Weather_clean_data!A:A,Weather_clean_data!B:B,0)</f>
        <v>20</v>
      </c>
      <c r="D215">
        <f>_xlfn.XLOOKUP(A215, Weather_clean_data!A:A, Weather_clean_data!C:C, 0)</f>
        <v>0</v>
      </c>
      <c r="E215">
        <f t="shared" si="28"/>
        <v>150</v>
      </c>
      <c r="F215">
        <f t="shared" si="29"/>
        <v>150</v>
      </c>
      <c r="G215">
        <f t="shared" si="30"/>
        <v>0</v>
      </c>
      <c r="H215" s="7">
        <f t="shared" si="31"/>
        <v>0</v>
      </c>
      <c r="I215">
        <f t="shared" si="32"/>
        <v>100</v>
      </c>
      <c r="J215">
        <f t="shared" si="33"/>
        <v>100</v>
      </c>
      <c r="K215">
        <f t="shared" si="34"/>
        <v>0</v>
      </c>
      <c r="L215" s="7">
        <f t="shared" si="35"/>
        <v>0</v>
      </c>
      <c r="M215" t="s">
        <v>16</v>
      </c>
      <c r="N215">
        <v>2026</v>
      </c>
      <c r="O215" t="s">
        <v>26</v>
      </c>
    </row>
    <row r="216" spans="1:15">
      <c r="A216" s="5">
        <v>46174</v>
      </c>
      <c r="B216" s="6" t="str">
        <f t="shared" si="27"/>
        <v>NO</v>
      </c>
      <c r="C216">
        <f>_xlfn.XLOOKUP(A216,Weather_clean_data!A:A,Weather_clean_data!B:B,0)</f>
        <v>19</v>
      </c>
      <c r="D216">
        <f>_xlfn.XLOOKUP(A216, Weather_clean_data!A:A, Weather_clean_data!C:C, 0)</f>
        <v>5.3</v>
      </c>
      <c r="E216">
        <f t="shared" si="28"/>
        <v>60</v>
      </c>
      <c r="F216">
        <f t="shared" si="29"/>
        <v>18</v>
      </c>
      <c r="G216">
        <f t="shared" si="30"/>
        <v>42</v>
      </c>
      <c r="H216" s="7">
        <f t="shared" si="31"/>
        <v>302.40000000000003</v>
      </c>
      <c r="I216">
        <f t="shared" si="32"/>
        <v>40</v>
      </c>
      <c r="J216">
        <f t="shared" si="33"/>
        <v>12</v>
      </c>
      <c r="K216">
        <f t="shared" si="34"/>
        <v>28</v>
      </c>
      <c r="L216" s="7">
        <f t="shared" si="35"/>
        <v>112</v>
      </c>
      <c r="M216" t="s">
        <v>18</v>
      </c>
      <c r="N216">
        <v>2026</v>
      </c>
      <c r="O216" t="s">
        <v>27</v>
      </c>
    </row>
    <row r="217" spans="1:15">
      <c r="A217" s="5">
        <v>46175</v>
      </c>
      <c r="B217" s="6" t="str">
        <f t="shared" si="27"/>
        <v>NO</v>
      </c>
      <c r="C217">
        <f>_xlfn.XLOOKUP(A217,Weather_clean_data!A:A,Weather_clean_data!B:B,0)</f>
        <v>19</v>
      </c>
      <c r="D217">
        <f>_xlfn.XLOOKUP(A217, Weather_clean_data!A:A, Weather_clean_data!C:C, 0)</f>
        <v>7</v>
      </c>
      <c r="E217">
        <f t="shared" si="28"/>
        <v>60</v>
      </c>
      <c r="F217">
        <f t="shared" si="29"/>
        <v>18</v>
      </c>
      <c r="G217">
        <f t="shared" si="30"/>
        <v>42</v>
      </c>
      <c r="H217" s="7">
        <f t="shared" si="31"/>
        <v>302.40000000000003</v>
      </c>
      <c r="I217">
        <f t="shared" si="32"/>
        <v>40</v>
      </c>
      <c r="J217">
        <f t="shared" si="33"/>
        <v>12</v>
      </c>
      <c r="K217">
        <f t="shared" si="34"/>
        <v>28</v>
      </c>
      <c r="L217" s="7">
        <f t="shared" si="35"/>
        <v>112</v>
      </c>
      <c r="M217" t="s">
        <v>18</v>
      </c>
      <c r="N217">
        <v>2026</v>
      </c>
      <c r="O217" t="s">
        <v>27</v>
      </c>
    </row>
    <row r="218" spans="1:15">
      <c r="A218" s="5">
        <v>46176</v>
      </c>
      <c r="B218" s="6" t="str">
        <f t="shared" si="27"/>
        <v>NO</v>
      </c>
      <c r="C218">
        <f>_xlfn.XLOOKUP(A218,Weather_clean_data!A:A,Weather_clean_data!B:B,0)</f>
        <v>20</v>
      </c>
      <c r="D218">
        <f>_xlfn.XLOOKUP(A218, Weather_clean_data!A:A, Weather_clean_data!C:C, 0)</f>
        <v>2.6</v>
      </c>
      <c r="E218">
        <f t="shared" si="28"/>
        <v>60</v>
      </c>
      <c r="F218">
        <f t="shared" si="29"/>
        <v>60</v>
      </c>
      <c r="G218">
        <f t="shared" si="30"/>
        <v>0</v>
      </c>
      <c r="H218" s="7">
        <f t="shared" si="31"/>
        <v>0</v>
      </c>
      <c r="I218">
        <f t="shared" si="32"/>
        <v>40</v>
      </c>
      <c r="J218">
        <f t="shared" si="33"/>
        <v>40</v>
      </c>
      <c r="K218">
        <f t="shared" si="34"/>
        <v>0</v>
      </c>
      <c r="L218" s="7">
        <f t="shared" si="35"/>
        <v>0</v>
      </c>
      <c r="M218" t="s">
        <v>17</v>
      </c>
      <c r="N218">
        <v>2026</v>
      </c>
      <c r="O218" t="s">
        <v>27</v>
      </c>
    </row>
    <row r="219" spans="1:15">
      <c r="A219" s="5">
        <v>46177</v>
      </c>
      <c r="B219" s="6" t="str">
        <f t="shared" si="27"/>
        <v>NO</v>
      </c>
      <c r="C219">
        <f>_xlfn.XLOOKUP(A219,Weather_clean_data!A:A,Weather_clean_data!B:B,0)</f>
        <v>17.2</v>
      </c>
      <c r="D219">
        <f>_xlfn.XLOOKUP(A219, Weather_clean_data!A:A, Weather_clean_data!C:C, 0)</f>
        <v>2.2000000000000002</v>
      </c>
      <c r="E219">
        <f t="shared" si="28"/>
        <v>60</v>
      </c>
      <c r="F219">
        <f t="shared" si="29"/>
        <v>60</v>
      </c>
      <c r="G219">
        <f t="shared" si="30"/>
        <v>0</v>
      </c>
      <c r="H219" s="7">
        <f t="shared" si="31"/>
        <v>0</v>
      </c>
      <c r="I219">
        <f t="shared" si="32"/>
        <v>40</v>
      </c>
      <c r="J219">
        <f t="shared" si="33"/>
        <v>40</v>
      </c>
      <c r="K219">
        <f t="shared" si="34"/>
        <v>0</v>
      </c>
      <c r="L219" s="7">
        <f t="shared" si="35"/>
        <v>0</v>
      </c>
      <c r="M219" t="s">
        <v>17</v>
      </c>
      <c r="N219">
        <v>2026</v>
      </c>
      <c r="O219" t="s">
        <v>27</v>
      </c>
    </row>
    <row r="220" spans="1:15">
      <c r="A220" s="5">
        <v>46178</v>
      </c>
      <c r="B220" s="6" t="str">
        <f t="shared" si="27"/>
        <v>NO</v>
      </c>
      <c r="C220">
        <f>_xlfn.XLOOKUP(A220,Weather_clean_data!A:A,Weather_clean_data!B:B,0)</f>
        <v>16</v>
      </c>
      <c r="D220">
        <f>_xlfn.XLOOKUP(A220, Weather_clean_data!A:A, Weather_clean_data!C:C, 0)</f>
        <v>0</v>
      </c>
      <c r="E220">
        <f t="shared" si="28"/>
        <v>60</v>
      </c>
      <c r="F220">
        <f t="shared" si="29"/>
        <v>60</v>
      </c>
      <c r="G220">
        <f t="shared" si="30"/>
        <v>0</v>
      </c>
      <c r="H220" s="7">
        <f t="shared" si="31"/>
        <v>0</v>
      </c>
      <c r="I220">
        <f t="shared" si="32"/>
        <v>40</v>
      </c>
      <c r="J220">
        <f t="shared" si="33"/>
        <v>40</v>
      </c>
      <c r="K220">
        <f t="shared" si="34"/>
        <v>0</v>
      </c>
      <c r="L220" s="7">
        <f t="shared" si="35"/>
        <v>0</v>
      </c>
      <c r="M220" t="s">
        <v>16</v>
      </c>
      <c r="N220">
        <v>2026</v>
      </c>
      <c r="O220" t="s">
        <v>27</v>
      </c>
    </row>
    <row r="221" spans="1:15">
      <c r="A221" s="5">
        <v>46179</v>
      </c>
      <c r="B221" s="6" t="str">
        <f t="shared" si="27"/>
        <v>YES</v>
      </c>
      <c r="C221">
        <f>_xlfn.XLOOKUP(A221,Weather_clean_data!A:A,Weather_clean_data!B:B,0)</f>
        <v>18</v>
      </c>
      <c r="D221">
        <f>_xlfn.XLOOKUP(A221, Weather_clean_data!A:A, Weather_clean_data!C:C, 0)</f>
        <v>7.4</v>
      </c>
      <c r="E221">
        <f t="shared" si="28"/>
        <v>150</v>
      </c>
      <c r="F221">
        <f t="shared" si="29"/>
        <v>36</v>
      </c>
      <c r="G221">
        <f t="shared" si="30"/>
        <v>114</v>
      </c>
      <c r="H221" s="7">
        <f t="shared" si="31"/>
        <v>820.80000000000007</v>
      </c>
      <c r="I221">
        <f t="shared" si="32"/>
        <v>100</v>
      </c>
      <c r="J221">
        <f t="shared" si="33"/>
        <v>24</v>
      </c>
      <c r="K221">
        <f t="shared" si="34"/>
        <v>76</v>
      </c>
      <c r="L221" s="7">
        <f t="shared" si="35"/>
        <v>304</v>
      </c>
      <c r="M221" t="s">
        <v>18</v>
      </c>
      <c r="N221">
        <v>2026</v>
      </c>
      <c r="O221" t="s">
        <v>27</v>
      </c>
    </row>
    <row r="222" spans="1:15">
      <c r="A222" s="5">
        <v>46180</v>
      </c>
      <c r="B222" s="6" t="str">
        <f t="shared" si="27"/>
        <v>YES</v>
      </c>
      <c r="C222">
        <f>_xlfn.XLOOKUP(A222,Weather_clean_data!A:A,Weather_clean_data!B:B,0)</f>
        <v>19</v>
      </c>
      <c r="D222">
        <f>_xlfn.XLOOKUP(A222, Weather_clean_data!A:A, Weather_clean_data!C:C, 0)</f>
        <v>0.8</v>
      </c>
      <c r="E222">
        <f t="shared" si="28"/>
        <v>150</v>
      </c>
      <c r="F222">
        <f t="shared" si="29"/>
        <v>150</v>
      </c>
      <c r="G222">
        <f t="shared" si="30"/>
        <v>0</v>
      </c>
      <c r="H222" s="7">
        <f t="shared" si="31"/>
        <v>0</v>
      </c>
      <c r="I222">
        <f t="shared" si="32"/>
        <v>100</v>
      </c>
      <c r="J222">
        <f t="shared" si="33"/>
        <v>100</v>
      </c>
      <c r="K222">
        <f t="shared" si="34"/>
        <v>0</v>
      </c>
      <c r="L222" s="7">
        <f t="shared" si="35"/>
        <v>0</v>
      </c>
      <c r="M222" t="s">
        <v>16</v>
      </c>
      <c r="N222">
        <v>2026</v>
      </c>
      <c r="O222" t="s">
        <v>27</v>
      </c>
    </row>
    <row r="223" spans="1:15">
      <c r="A223" s="5">
        <v>46181</v>
      </c>
      <c r="B223" s="6" t="str">
        <f t="shared" si="27"/>
        <v>NO</v>
      </c>
      <c r="C223">
        <f>_xlfn.XLOOKUP(A223,Weather_clean_data!A:A,Weather_clean_data!B:B,0)</f>
        <v>19</v>
      </c>
      <c r="D223">
        <f>_xlfn.XLOOKUP(A223, Weather_clean_data!A:A, Weather_clean_data!C:C, 0)</f>
        <v>6.1</v>
      </c>
      <c r="E223">
        <f t="shared" si="28"/>
        <v>60</v>
      </c>
      <c r="F223">
        <f t="shared" si="29"/>
        <v>18</v>
      </c>
      <c r="G223">
        <f t="shared" si="30"/>
        <v>42</v>
      </c>
      <c r="H223" s="7">
        <f t="shared" si="31"/>
        <v>302.40000000000003</v>
      </c>
      <c r="I223">
        <f t="shared" si="32"/>
        <v>40</v>
      </c>
      <c r="J223">
        <f t="shared" si="33"/>
        <v>12</v>
      </c>
      <c r="K223">
        <f t="shared" si="34"/>
        <v>28</v>
      </c>
      <c r="L223" s="7">
        <f t="shared" si="35"/>
        <v>112</v>
      </c>
      <c r="M223" t="s">
        <v>18</v>
      </c>
      <c r="N223">
        <v>2026</v>
      </c>
      <c r="O223" t="s">
        <v>27</v>
      </c>
    </row>
    <row r="224" spans="1:15">
      <c r="A224" s="5">
        <v>46182</v>
      </c>
      <c r="B224" s="6" t="str">
        <f t="shared" si="27"/>
        <v>NO</v>
      </c>
      <c r="C224">
        <f>_xlfn.XLOOKUP(A224,Weather_clean_data!A:A,Weather_clean_data!B:B,0)</f>
        <v>17</v>
      </c>
      <c r="D224">
        <f>_xlfn.XLOOKUP(A224, Weather_clean_data!A:A, Weather_clean_data!C:C, 0)</f>
        <v>2.8</v>
      </c>
      <c r="E224">
        <f t="shared" si="28"/>
        <v>60</v>
      </c>
      <c r="F224">
        <f t="shared" si="29"/>
        <v>60</v>
      </c>
      <c r="G224">
        <f t="shared" si="30"/>
        <v>0</v>
      </c>
      <c r="H224" s="7">
        <f t="shared" si="31"/>
        <v>0</v>
      </c>
      <c r="I224">
        <f t="shared" si="32"/>
        <v>40</v>
      </c>
      <c r="J224">
        <f t="shared" si="33"/>
        <v>40</v>
      </c>
      <c r="K224">
        <f t="shared" si="34"/>
        <v>0</v>
      </c>
      <c r="L224" s="7">
        <f t="shared" si="35"/>
        <v>0</v>
      </c>
      <c r="M224" t="s">
        <v>17</v>
      </c>
      <c r="N224">
        <v>2026</v>
      </c>
      <c r="O224" t="s">
        <v>27</v>
      </c>
    </row>
    <row r="225" spans="1:15">
      <c r="A225" s="5">
        <v>46183</v>
      </c>
      <c r="B225" s="6" t="str">
        <f t="shared" si="27"/>
        <v>NO</v>
      </c>
      <c r="C225">
        <f>_xlfn.XLOOKUP(A225,Weather_clean_data!A:A,Weather_clean_data!B:B,0)</f>
        <v>17</v>
      </c>
      <c r="D225">
        <f>_xlfn.XLOOKUP(A225, Weather_clean_data!A:A, Weather_clean_data!C:C, 0)</f>
        <v>1.2</v>
      </c>
      <c r="E225">
        <f t="shared" si="28"/>
        <v>60</v>
      </c>
      <c r="F225">
        <f t="shared" si="29"/>
        <v>60</v>
      </c>
      <c r="G225">
        <f t="shared" si="30"/>
        <v>0</v>
      </c>
      <c r="H225" s="7">
        <f t="shared" si="31"/>
        <v>0</v>
      </c>
      <c r="I225">
        <f t="shared" si="32"/>
        <v>40</v>
      </c>
      <c r="J225">
        <f t="shared" si="33"/>
        <v>40</v>
      </c>
      <c r="K225">
        <f t="shared" si="34"/>
        <v>0</v>
      </c>
      <c r="L225" s="7">
        <f t="shared" si="35"/>
        <v>0</v>
      </c>
      <c r="M225" t="s">
        <v>17</v>
      </c>
      <c r="N225">
        <v>2026</v>
      </c>
      <c r="O225" t="s">
        <v>27</v>
      </c>
    </row>
    <row r="226" spans="1:15">
      <c r="A226" s="5">
        <v>46184</v>
      </c>
      <c r="B226" s="6" t="str">
        <f t="shared" si="27"/>
        <v>NO</v>
      </c>
      <c r="C226">
        <f>_xlfn.XLOOKUP(A226,Weather_clean_data!A:A,Weather_clean_data!B:B,0)</f>
        <v>18</v>
      </c>
      <c r="D226">
        <f>_xlfn.XLOOKUP(A226, Weather_clean_data!A:A, Weather_clean_data!C:C, 0)</f>
        <v>4.5</v>
      </c>
      <c r="E226">
        <f t="shared" si="28"/>
        <v>60</v>
      </c>
      <c r="F226">
        <f t="shared" si="29"/>
        <v>60</v>
      </c>
      <c r="G226">
        <f t="shared" si="30"/>
        <v>0</v>
      </c>
      <c r="H226" s="7">
        <f t="shared" si="31"/>
        <v>0</v>
      </c>
      <c r="I226">
        <f t="shared" si="32"/>
        <v>40</v>
      </c>
      <c r="J226">
        <f t="shared" si="33"/>
        <v>40</v>
      </c>
      <c r="K226">
        <f t="shared" si="34"/>
        <v>0</v>
      </c>
      <c r="L226" s="7">
        <f t="shared" si="35"/>
        <v>0</v>
      </c>
      <c r="M226" t="s">
        <v>17</v>
      </c>
      <c r="N226">
        <v>2026</v>
      </c>
      <c r="O226" t="s">
        <v>27</v>
      </c>
    </row>
    <row r="227" spans="1:15">
      <c r="A227" s="5">
        <v>46185</v>
      </c>
      <c r="B227" s="6" t="str">
        <f t="shared" si="27"/>
        <v>NO</v>
      </c>
      <c r="C227">
        <f>_xlfn.XLOOKUP(A227,Weather_clean_data!A:A,Weather_clean_data!B:B,0)</f>
        <v>21</v>
      </c>
      <c r="D227">
        <f>_xlfn.XLOOKUP(A227, Weather_clean_data!A:A, Weather_clean_data!C:C, 0)</f>
        <v>0.2</v>
      </c>
      <c r="E227">
        <f t="shared" si="28"/>
        <v>60</v>
      </c>
      <c r="F227">
        <f t="shared" si="29"/>
        <v>60</v>
      </c>
      <c r="G227">
        <f t="shared" si="30"/>
        <v>0</v>
      </c>
      <c r="H227" s="7">
        <f t="shared" si="31"/>
        <v>0</v>
      </c>
      <c r="I227">
        <f t="shared" si="32"/>
        <v>40</v>
      </c>
      <c r="J227">
        <f t="shared" si="33"/>
        <v>40</v>
      </c>
      <c r="K227">
        <f t="shared" si="34"/>
        <v>0</v>
      </c>
      <c r="L227" s="7">
        <f t="shared" si="35"/>
        <v>0</v>
      </c>
      <c r="M227" t="s">
        <v>16</v>
      </c>
      <c r="N227">
        <v>2026</v>
      </c>
      <c r="O227" t="s">
        <v>27</v>
      </c>
    </row>
    <row r="228" spans="1:15">
      <c r="A228" s="5">
        <v>46186</v>
      </c>
      <c r="B228" s="6" t="str">
        <f t="shared" si="27"/>
        <v>YES</v>
      </c>
      <c r="C228">
        <f>_xlfn.XLOOKUP(A228,Weather_clean_data!A:A,Weather_clean_data!B:B,0)</f>
        <v>20</v>
      </c>
      <c r="D228">
        <f>_xlfn.XLOOKUP(A228, Weather_clean_data!A:A, Weather_clean_data!C:C, 0)</f>
        <v>0</v>
      </c>
      <c r="E228">
        <f t="shared" si="28"/>
        <v>150</v>
      </c>
      <c r="F228">
        <f t="shared" si="29"/>
        <v>150</v>
      </c>
      <c r="G228">
        <f t="shared" si="30"/>
        <v>0</v>
      </c>
      <c r="H228" s="7">
        <f t="shared" si="31"/>
        <v>0</v>
      </c>
      <c r="I228">
        <f t="shared" si="32"/>
        <v>100</v>
      </c>
      <c r="J228">
        <f t="shared" si="33"/>
        <v>100</v>
      </c>
      <c r="K228">
        <f t="shared" si="34"/>
        <v>0</v>
      </c>
      <c r="L228" s="7">
        <f t="shared" si="35"/>
        <v>0</v>
      </c>
      <c r="M228" t="s">
        <v>16</v>
      </c>
      <c r="N228">
        <v>2026</v>
      </c>
      <c r="O228" t="s">
        <v>27</v>
      </c>
    </row>
    <row r="229" spans="1:15">
      <c r="A229" s="5">
        <v>46187</v>
      </c>
      <c r="B229" s="6" t="str">
        <f t="shared" si="27"/>
        <v>YES</v>
      </c>
      <c r="C229">
        <f>_xlfn.XLOOKUP(A229,Weather_clean_data!A:A,Weather_clean_data!B:B,0)</f>
        <v>19.8</v>
      </c>
      <c r="D229">
        <f>_xlfn.XLOOKUP(A229, Weather_clean_data!A:A, Weather_clean_data!C:C, 0)</f>
        <v>0</v>
      </c>
      <c r="E229">
        <f t="shared" si="28"/>
        <v>150</v>
      </c>
      <c r="F229">
        <f t="shared" si="29"/>
        <v>150</v>
      </c>
      <c r="G229">
        <f t="shared" si="30"/>
        <v>0</v>
      </c>
      <c r="H229" s="7">
        <f t="shared" si="31"/>
        <v>0</v>
      </c>
      <c r="I229">
        <f t="shared" si="32"/>
        <v>100</v>
      </c>
      <c r="J229">
        <f t="shared" si="33"/>
        <v>100</v>
      </c>
      <c r="K229">
        <f t="shared" si="34"/>
        <v>0</v>
      </c>
      <c r="L229" s="7">
        <f t="shared" si="35"/>
        <v>0</v>
      </c>
      <c r="M229" t="s">
        <v>16</v>
      </c>
      <c r="N229">
        <v>2026</v>
      </c>
      <c r="O229" t="s">
        <v>27</v>
      </c>
    </row>
    <row r="230" spans="1:15">
      <c r="A230" s="5">
        <v>46188</v>
      </c>
      <c r="B230" s="6" t="str">
        <f t="shared" si="27"/>
        <v>NO</v>
      </c>
      <c r="C230">
        <f>_xlfn.XLOOKUP(A230,Weather_clean_data!A:A,Weather_clean_data!B:B,0)</f>
        <v>24</v>
      </c>
      <c r="D230">
        <f>_xlfn.XLOOKUP(A230, Weather_clean_data!A:A, Weather_clean_data!C:C, 0)</f>
        <v>2.2999999999999998</v>
      </c>
      <c r="E230">
        <f t="shared" si="28"/>
        <v>60</v>
      </c>
      <c r="F230">
        <f t="shared" si="29"/>
        <v>60</v>
      </c>
      <c r="G230">
        <f t="shared" si="30"/>
        <v>0</v>
      </c>
      <c r="H230" s="7">
        <f t="shared" si="31"/>
        <v>0</v>
      </c>
      <c r="I230">
        <f t="shared" si="32"/>
        <v>40</v>
      </c>
      <c r="J230">
        <f t="shared" si="33"/>
        <v>40</v>
      </c>
      <c r="K230">
        <f t="shared" si="34"/>
        <v>0</v>
      </c>
      <c r="L230" s="7">
        <f t="shared" si="35"/>
        <v>0</v>
      </c>
      <c r="M230" t="s">
        <v>17</v>
      </c>
      <c r="N230">
        <v>2026</v>
      </c>
      <c r="O230" t="s">
        <v>27</v>
      </c>
    </row>
    <row r="231" spans="1:15">
      <c r="A231" s="5">
        <v>46189</v>
      </c>
      <c r="B231" s="6" t="str">
        <f t="shared" si="27"/>
        <v>NO</v>
      </c>
      <c r="C231">
        <f>_xlfn.XLOOKUP(A231,Weather_clean_data!A:A,Weather_clean_data!B:B,0)</f>
        <v>21</v>
      </c>
      <c r="D231">
        <f>_xlfn.XLOOKUP(A231, Weather_clean_data!A:A, Weather_clean_data!C:C, 0)</f>
        <v>0</v>
      </c>
      <c r="E231">
        <f t="shared" si="28"/>
        <v>60</v>
      </c>
      <c r="F231">
        <f t="shared" si="29"/>
        <v>60</v>
      </c>
      <c r="G231">
        <f t="shared" si="30"/>
        <v>0</v>
      </c>
      <c r="H231" s="7">
        <f t="shared" si="31"/>
        <v>0</v>
      </c>
      <c r="I231">
        <f t="shared" si="32"/>
        <v>40</v>
      </c>
      <c r="J231">
        <f t="shared" si="33"/>
        <v>40</v>
      </c>
      <c r="K231">
        <f t="shared" si="34"/>
        <v>0</v>
      </c>
      <c r="L231" s="7">
        <f t="shared" si="35"/>
        <v>0</v>
      </c>
      <c r="M231" t="s">
        <v>17</v>
      </c>
      <c r="N231">
        <v>2026</v>
      </c>
      <c r="O231" t="s">
        <v>27</v>
      </c>
    </row>
    <row r="232" spans="1:15">
      <c r="A232" s="5">
        <v>46190</v>
      </c>
      <c r="B232" s="6" t="str">
        <f t="shared" si="27"/>
        <v>NO</v>
      </c>
      <c r="C232">
        <f>_xlfn.XLOOKUP(A232,Weather_clean_data!A:A,Weather_clean_data!B:B,0)</f>
        <v>21</v>
      </c>
      <c r="D232">
        <f>_xlfn.XLOOKUP(A232, Weather_clean_data!A:A, Weather_clean_data!C:C, 0)</f>
        <v>2.2999999999999998</v>
      </c>
      <c r="E232">
        <f t="shared" si="28"/>
        <v>60</v>
      </c>
      <c r="F232">
        <f t="shared" si="29"/>
        <v>60</v>
      </c>
      <c r="G232">
        <f t="shared" si="30"/>
        <v>0</v>
      </c>
      <c r="H232" s="7">
        <f t="shared" si="31"/>
        <v>0</v>
      </c>
      <c r="I232">
        <f t="shared" si="32"/>
        <v>40</v>
      </c>
      <c r="J232">
        <f t="shared" si="33"/>
        <v>40</v>
      </c>
      <c r="K232">
        <f t="shared" si="34"/>
        <v>0</v>
      </c>
      <c r="L232" s="7">
        <f t="shared" si="35"/>
        <v>0</v>
      </c>
      <c r="M232" t="s">
        <v>17</v>
      </c>
      <c r="N232">
        <v>2026</v>
      </c>
      <c r="O232" t="s">
        <v>27</v>
      </c>
    </row>
    <row r="233" spans="1:15">
      <c r="A233" s="5">
        <v>46191</v>
      </c>
      <c r="B233" s="6" t="str">
        <f t="shared" si="27"/>
        <v>NO</v>
      </c>
      <c r="C233">
        <f>_xlfn.XLOOKUP(A233,Weather_clean_data!A:A,Weather_clean_data!B:B,0)</f>
        <v>24</v>
      </c>
      <c r="D233">
        <f>_xlfn.XLOOKUP(A233, Weather_clean_data!A:A, Weather_clean_data!C:C, 0)</f>
        <v>0</v>
      </c>
      <c r="E233">
        <f t="shared" si="28"/>
        <v>60</v>
      </c>
      <c r="F233">
        <f t="shared" si="29"/>
        <v>60</v>
      </c>
      <c r="G233">
        <f t="shared" si="30"/>
        <v>0</v>
      </c>
      <c r="H233" s="7">
        <f t="shared" si="31"/>
        <v>0</v>
      </c>
      <c r="I233">
        <f t="shared" si="32"/>
        <v>40</v>
      </c>
      <c r="J233">
        <f t="shared" si="33"/>
        <v>40</v>
      </c>
      <c r="K233">
        <f t="shared" si="34"/>
        <v>0</v>
      </c>
      <c r="L233" s="7">
        <f t="shared" si="35"/>
        <v>0</v>
      </c>
      <c r="M233" t="s">
        <v>17</v>
      </c>
      <c r="N233">
        <v>2026</v>
      </c>
      <c r="O233" t="s">
        <v>27</v>
      </c>
    </row>
    <row r="234" spans="1:15">
      <c r="A234" s="5">
        <v>46192</v>
      </c>
      <c r="B234" s="6" t="str">
        <f t="shared" si="27"/>
        <v>NO</v>
      </c>
      <c r="C234">
        <f>_xlfn.XLOOKUP(A234,Weather_clean_data!A:A,Weather_clean_data!B:B,0)</f>
        <v>25</v>
      </c>
      <c r="D234">
        <f>_xlfn.XLOOKUP(A234, Weather_clean_data!A:A, Weather_clean_data!C:C, 0)</f>
        <v>0</v>
      </c>
      <c r="E234">
        <f t="shared" si="28"/>
        <v>60</v>
      </c>
      <c r="F234">
        <f t="shared" si="29"/>
        <v>60</v>
      </c>
      <c r="G234">
        <f t="shared" si="30"/>
        <v>0</v>
      </c>
      <c r="H234" s="7">
        <f t="shared" si="31"/>
        <v>0</v>
      </c>
      <c r="I234">
        <f t="shared" si="32"/>
        <v>40</v>
      </c>
      <c r="J234">
        <f t="shared" si="33"/>
        <v>40</v>
      </c>
      <c r="K234">
        <f t="shared" si="34"/>
        <v>0</v>
      </c>
      <c r="L234" s="7">
        <f t="shared" si="35"/>
        <v>0</v>
      </c>
      <c r="M234" t="s">
        <v>16</v>
      </c>
      <c r="N234">
        <v>2026</v>
      </c>
      <c r="O234" t="s">
        <v>27</v>
      </c>
    </row>
    <row r="235" spans="1:15">
      <c r="A235" s="5">
        <v>46193</v>
      </c>
      <c r="B235" s="6" t="str">
        <f t="shared" si="27"/>
        <v>YES</v>
      </c>
      <c r="C235">
        <f>_xlfn.XLOOKUP(A235,Weather_clean_data!A:A,Weather_clean_data!B:B,0)</f>
        <v>24</v>
      </c>
      <c r="D235">
        <f>_xlfn.XLOOKUP(A235, Weather_clean_data!A:A, Weather_clean_data!C:C, 0)</f>
        <v>5.2</v>
      </c>
      <c r="E235">
        <f t="shared" si="28"/>
        <v>150</v>
      </c>
      <c r="F235">
        <f t="shared" si="29"/>
        <v>36</v>
      </c>
      <c r="G235">
        <f t="shared" si="30"/>
        <v>114</v>
      </c>
      <c r="H235" s="7">
        <f t="shared" si="31"/>
        <v>820.80000000000007</v>
      </c>
      <c r="I235">
        <f t="shared" si="32"/>
        <v>100</v>
      </c>
      <c r="J235">
        <f t="shared" si="33"/>
        <v>24</v>
      </c>
      <c r="K235">
        <f t="shared" si="34"/>
        <v>76</v>
      </c>
      <c r="L235" s="7">
        <f t="shared" si="35"/>
        <v>304</v>
      </c>
      <c r="M235" t="s">
        <v>18</v>
      </c>
      <c r="N235">
        <v>2026</v>
      </c>
      <c r="O235" t="s">
        <v>27</v>
      </c>
    </row>
    <row r="236" spans="1:15">
      <c r="A236" s="5">
        <v>46194</v>
      </c>
      <c r="B236" s="6" t="str">
        <f t="shared" si="27"/>
        <v>YES</v>
      </c>
      <c r="C236">
        <f>_xlfn.XLOOKUP(A236,Weather_clean_data!A:A,Weather_clean_data!B:B,0)</f>
        <v>28</v>
      </c>
      <c r="D236">
        <f>_xlfn.XLOOKUP(A236, Weather_clean_data!A:A, Weather_clean_data!C:C, 0)</f>
        <v>0</v>
      </c>
      <c r="E236">
        <f t="shared" si="28"/>
        <v>150</v>
      </c>
      <c r="F236">
        <f t="shared" si="29"/>
        <v>150</v>
      </c>
      <c r="G236">
        <f t="shared" si="30"/>
        <v>0</v>
      </c>
      <c r="H236" s="7">
        <f t="shared" si="31"/>
        <v>0</v>
      </c>
      <c r="I236">
        <f t="shared" si="32"/>
        <v>100</v>
      </c>
      <c r="J236">
        <f t="shared" si="33"/>
        <v>100</v>
      </c>
      <c r="K236">
        <f t="shared" si="34"/>
        <v>0</v>
      </c>
      <c r="L236" s="7">
        <f t="shared" si="35"/>
        <v>0</v>
      </c>
      <c r="M236" t="s">
        <v>16</v>
      </c>
      <c r="N236">
        <v>2026</v>
      </c>
      <c r="O236" t="s">
        <v>27</v>
      </c>
    </row>
    <row r="237" spans="1:15">
      <c r="A237" s="5">
        <v>46195</v>
      </c>
      <c r="B237" s="6" t="str">
        <f t="shared" si="27"/>
        <v>NO</v>
      </c>
      <c r="C237">
        <f>_xlfn.XLOOKUP(A237,Weather_clean_data!A:A,Weather_clean_data!B:B,0)</f>
        <v>29.8</v>
      </c>
      <c r="D237">
        <f>_xlfn.XLOOKUP(A237, Weather_clean_data!A:A, Weather_clean_data!C:C, 0)</f>
        <v>0</v>
      </c>
      <c r="E237">
        <f t="shared" si="28"/>
        <v>60</v>
      </c>
      <c r="F237">
        <f t="shared" si="29"/>
        <v>60</v>
      </c>
      <c r="G237">
        <f t="shared" si="30"/>
        <v>0</v>
      </c>
      <c r="H237" s="7">
        <f t="shared" si="31"/>
        <v>0</v>
      </c>
      <c r="I237">
        <f t="shared" si="32"/>
        <v>40</v>
      </c>
      <c r="J237">
        <f t="shared" si="33"/>
        <v>40</v>
      </c>
      <c r="K237">
        <f t="shared" si="34"/>
        <v>0</v>
      </c>
      <c r="L237" s="7">
        <f t="shared" si="35"/>
        <v>0</v>
      </c>
      <c r="M237" t="s">
        <v>17</v>
      </c>
      <c r="N237">
        <v>2026</v>
      </c>
      <c r="O237" t="s">
        <v>27</v>
      </c>
    </row>
    <row r="238" spans="1:15">
      <c r="A238" s="5">
        <v>46196</v>
      </c>
      <c r="B238" s="6" t="str">
        <f t="shared" si="27"/>
        <v>NO</v>
      </c>
      <c r="C238">
        <f>_xlfn.XLOOKUP(A238,Weather_clean_data!A:A,Weather_clean_data!B:B,0)</f>
        <v>34.700000000000003</v>
      </c>
      <c r="D238">
        <f>_xlfn.XLOOKUP(A238, Weather_clean_data!A:A, Weather_clean_data!C:C, 0)</f>
        <v>0</v>
      </c>
      <c r="E238">
        <f t="shared" si="28"/>
        <v>60</v>
      </c>
      <c r="F238">
        <f t="shared" si="29"/>
        <v>9</v>
      </c>
      <c r="G238">
        <f t="shared" si="30"/>
        <v>51</v>
      </c>
      <c r="H238" s="7">
        <f t="shared" si="31"/>
        <v>367.2</v>
      </c>
      <c r="I238">
        <f t="shared" si="32"/>
        <v>40</v>
      </c>
      <c r="J238">
        <f t="shared" si="33"/>
        <v>6</v>
      </c>
      <c r="K238">
        <f t="shared" si="34"/>
        <v>34</v>
      </c>
      <c r="L238" s="7">
        <f t="shared" si="35"/>
        <v>136</v>
      </c>
      <c r="M238" t="s">
        <v>19</v>
      </c>
      <c r="N238">
        <v>2026</v>
      </c>
      <c r="O238" t="s">
        <v>27</v>
      </c>
    </row>
    <row r="239" spans="1:15">
      <c r="A239" s="5">
        <v>46197</v>
      </c>
      <c r="B239" s="6" t="str">
        <f t="shared" si="27"/>
        <v>NO</v>
      </c>
      <c r="C239">
        <f>_xlfn.XLOOKUP(A239,Weather_clean_data!A:A,Weather_clean_data!B:B,0)</f>
        <v>35.299999999999997</v>
      </c>
      <c r="D239">
        <f>_xlfn.XLOOKUP(A239, Weather_clean_data!A:A, Weather_clean_data!C:C, 0)</f>
        <v>0</v>
      </c>
      <c r="E239">
        <f t="shared" si="28"/>
        <v>60</v>
      </c>
      <c r="F239">
        <f t="shared" si="29"/>
        <v>9</v>
      </c>
      <c r="G239">
        <f t="shared" si="30"/>
        <v>51</v>
      </c>
      <c r="H239" s="7">
        <f t="shared" si="31"/>
        <v>367.2</v>
      </c>
      <c r="I239">
        <f t="shared" si="32"/>
        <v>40</v>
      </c>
      <c r="J239">
        <f t="shared" si="33"/>
        <v>6</v>
      </c>
      <c r="K239">
        <f t="shared" si="34"/>
        <v>34</v>
      </c>
      <c r="L239" s="7">
        <f t="shared" si="35"/>
        <v>136</v>
      </c>
      <c r="M239" t="s">
        <v>19</v>
      </c>
      <c r="N239">
        <v>2026</v>
      </c>
      <c r="O239" t="s">
        <v>27</v>
      </c>
    </row>
    <row r="240" spans="1:15">
      <c r="A240" s="5">
        <v>46198</v>
      </c>
      <c r="B240" s="6" t="str">
        <f t="shared" si="27"/>
        <v>NO</v>
      </c>
      <c r="C240">
        <v>34.200000000000003</v>
      </c>
      <c r="D240">
        <f>_xlfn.XLOOKUP(A240, Weather_clean_data!A:A, Weather_clean_data!C:C, 0)</f>
        <v>0</v>
      </c>
      <c r="E240">
        <f t="shared" si="28"/>
        <v>60</v>
      </c>
      <c r="F240">
        <f t="shared" si="29"/>
        <v>9</v>
      </c>
      <c r="G240">
        <f t="shared" si="30"/>
        <v>51</v>
      </c>
      <c r="H240" s="7">
        <f t="shared" si="31"/>
        <v>367.2</v>
      </c>
      <c r="I240">
        <f t="shared" si="32"/>
        <v>40</v>
      </c>
      <c r="J240">
        <f t="shared" si="33"/>
        <v>6</v>
      </c>
      <c r="K240">
        <f t="shared" si="34"/>
        <v>34</v>
      </c>
      <c r="L240" s="7">
        <f t="shared" si="35"/>
        <v>136</v>
      </c>
      <c r="M240" t="s">
        <v>17</v>
      </c>
      <c r="N240">
        <v>2026</v>
      </c>
      <c r="O240" t="s">
        <v>27</v>
      </c>
    </row>
    <row r="241" spans="1:15">
      <c r="A241" s="5">
        <v>46199</v>
      </c>
      <c r="B241" s="6" t="str">
        <f t="shared" si="27"/>
        <v>NO</v>
      </c>
      <c r="C241">
        <v>28.7</v>
      </c>
      <c r="D241">
        <v>2.1</v>
      </c>
      <c r="E241">
        <f t="shared" si="28"/>
        <v>60</v>
      </c>
      <c r="F241">
        <f t="shared" si="29"/>
        <v>60</v>
      </c>
      <c r="G241">
        <f t="shared" si="30"/>
        <v>0</v>
      </c>
      <c r="H241" s="7">
        <f t="shared" si="31"/>
        <v>0</v>
      </c>
      <c r="I241">
        <f t="shared" si="32"/>
        <v>40</v>
      </c>
      <c r="J241">
        <f t="shared" si="33"/>
        <v>40</v>
      </c>
      <c r="K241">
        <f t="shared" si="34"/>
        <v>0</v>
      </c>
      <c r="L241" s="7">
        <f t="shared" si="35"/>
        <v>0</v>
      </c>
      <c r="M241" t="s">
        <v>16</v>
      </c>
      <c r="N241">
        <v>2026</v>
      </c>
      <c r="O241" t="s">
        <v>27</v>
      </c>
    </row>
    <row r="242" spans="1:15">
      <c r="A242" s="5">
        <v>46200</v>
      </c>
      <c r="B242" s="6" t="str">
        <f t="shared" si="27"/>
        <v>YES</v>
      </c>
      <c r="C242">
        <v>27.2</v>
      </c>
      <c r="D242">
        <v>1.2</v>
      </c>
      <c r="E242">
        <f t="shared" si="28"/>
        <v>150</v>
      </c>
      <c r="F242">
        <f t="shared" si="29"/>
        <v>150</v>
      </c>
      <c r="G242">
        <f t="shared" si="30"/>
        <v>0</v>
      </c>
      <c r="H242" s="7">
        <f t="shared" si="31"/>
        <v>0</v>
      </c>
      <c r="I242">
        <f t="shared" si="32"/>
        <v>100</v>
      </c>
      <c r="J242">
        <f t="shared" si="33"/>
        <v>100</v>
      </c>
      <c r="K242">
        <f t="shared" si="34"/>
        <v>0</v>
      </c>
      <c r="L242" s="7">
        <f t="shared" si="35"/>
        <v>0</v>
      </c>
      <c r="M242" t="s">
        <v>16</v>
      </c>
      <c r="N242">
        <v>2026</v>
      </c>
      <c r="O242" t="s">
        <v>27</v>
      </c>
    </row>
    <row r="243" spans="1:15">
      <c r="A243" s="5">
        <v>46201</v>
      </c>
      <c r="B243" s="6" t="str">
        <f t="shared" si="27"/>
        <v>YES</v>
      </c>
      <c r="C243">
        <v>21.4</v>
      </c>
      <c r="D243">
        <v>3.1</v>
      </c>
      <c r="E243">
        <f t="shared" si="28"/>
        <v>150</v>
      </c>
      <c r="F243">
        <f t="shared" si="29"/>
        <v>150</v>
      </c>
      <c r="G243">
        <f t="shared" si="30"/>
        <v>0</v>
      </c>
      <c r="H243" s="7">
        <f t="shared" si="31"/>
        <v>0</v>
      </c>
      <c r="I243">
        <f t="shared" si="32"/>
        <v>100</v>
      </c>
      <c r="J243">
        <f t="shared" si="33"/>
        <v>100</v>
      </c>
      <c r="K243">
        <f t="shared" si="34"/>
        <v>0</v>
      </c>
      <c r="L243" s="7">
        <f t="shared" si="35"/>
        <v>0</v>
      </c>
      <c r="M243" t="s">
        <v>16</v>
      </c>
      <c r="N243">
        <v>2026</v>
      </c>
      <c r="O243" t="s">
        <v>27</v>
      </c>
    </row>
    <row r="244" spans="1:15">
      <c r="A244" s="5">
        <v>46202</v>
      </c>
      <c r="B244" s="6" t="str">
        <f t="shared" si="27"/>
        <v>NO</v>
      </c>
      <c r="C244">
        <v>21.2</v>
      </c>
      <c r="D244">
        <f>_xlfn.XLOOKUP(A244, Weather_clean_data!A:A, Weather_clean_data!C:C, 0)</f>
        <v>0</v>
      </c>
      <c r="E244">
        <f t="shared" si="28"/>
        <v>60</v>
      </c>
      <c r="F244">
        <f t="shared" si="29"/>
        <v>60</v>
      </c>
      <c r="G244">
        <f t="shared" si="30"/>
        <v>0</v>
      </c>
      <c r="H244" s="7">
        <f t="shared" si="31"/>
        <v>0</v>
      </c>
      <c r="I244">
        <f t="shared" si="32"/>
        <v>40</v>
      </c>
      <c r="J244">
        <f t="shared" si="33"/>
        <v>40</v>
      </c>
      <c r="K244">
        <f t="shared" si="34"/>
        <v>0</v>
      </c>
      <c r="L244" s="7">
        <f t="shared" si="35"/>
        <v>0</v>
      </c>
      <c r="M244" t="s">
        <v>17</v>
      </c>
      <c r="N244">
        <v>2026</v>
      </c>
      <c r="O244" t="s">
        <v>27</v>
      </c>
    </row>
    <row r="245" spans="1:15">
      <c r="A245" s="5">
        <v>46203</v>
      </c>
      <c r="B245" s="6" t="str">
        <f t="shared" si="27"/>
        <v>NO</v>
      </c>
      <c r="C245">
        <v>21.6</v>
      </c>
      <c r="D245">
        <f>_xlfn.XLOOKUP(A245, Weather_clean_data!A:A, Weather_clean_data!C:C, 0)</f>
        <v>0</v>
      </c>
      <c r="E245">
        <f t="shared" si="28"/>
        <v>60</v>
      </c>
      <c r="F245">
        <f t="shared" si="29"/>
        <v>60</v>
      </c>
      <c r="G245">
        <f t="shared" si="30"/>
        <v>0</v>
      </c>
      <c r="H245" s="7">
        <f t="shared" si="31"/>
        <v>0</v>
      </c>
      <c r="I245">
        <f t="shared" si="32"/>
        <v>40</v>
      </c>
      <c r="J245">
        <f t="shared" si="33"/>
        <v>40</v>
      </c>
      <c r="K245">
        <f t="shared" si="34"/>
        <v>0</v>
      </c>
      <c r="L245" s="7">
        <f t="shared" si="35"/>
        <v>0</v>
      </c>
      <c r="M245" t="s">
        <v>17</v>
      </c>
      <c r="N245">
        <v>2026</v>
      </c>
      <c r="O245" t="s">
        <v>27</v>
      </c>
    </row>
    <row r="246" spans="1:15">
      <c r="H246"/>
      <c r="L24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58BD9-636A-4E65-9AB2-7EA28118692D}">
  <dimension ref="A1:D245"/>
  <sheetViews>
    <sheetView workbookViewId="0">
      <selection activeCell="M9" sqref="M9"/>
    </sheetView>
  </sheetViews>
  <sheetFormatPr defaultRowHeight="14.4"/>
  <cols>
    <col min="1" max="1" width="15.6640625" style="5" bestFit="1" customWidth="1"/>
  </cols>
  <sheetData>
    <row r="1" spans="1:4">
      <c r="A1" s="38" t="s">
        <v>0</v>
      </c>
      <c r="B1" s="2" t="s">
        <v>13</v>
      </c>
      <c r="C1" s="2" t="s">
        <v>14</v>
      </c>
      <c r="D1" s="1"/>
    </row>
    <row r="2" spans="1:4">
      <c r="A2" s="5">
        <v>45047</v>
      </c>
      <c r="B2">
        <v>18</v>
      </c>
      <c r="C2">
        <v>1.3</v>
      </c>
    </row>
    <row r="3" spans="1:4">
      <c r="A3" s="5">
        <v>45048</v>
      </c>
      <c r="B3">
        <v>17</v>
      </c>
      <c r="C3">
        <v>0.1</v>
      </c>
    </row>
    <row r="4" spans="1:4">
      <c r="A4" s="5">
        <v>45049</v>
      </c>
      <c r="B4">
        <v>16</v>
      </c>
      <c r="C4">
        <v>0</v>
      </c>
    </row>
    <row r="5" spans="1:4">
      <c r="A5" s="5">
        <v>45050</v>
      </c>
      <c r="B5">
        <v>18</v>
      </c>
      <c r="C5">
        <v>1.9</v>
      </c>
    </row>
    <row r="6" spans="1:4">
      <c r="A6" s="5">
        <v>45051</v>
      </c>
      <c r="B6">
        <v>18</v>
      </c>
      <c r="C6">
        <v>2.5</v>
      </c>
    </row>
    <row r="7" spans="1:4">
      <c r="A7" s="5">
        <v>45052</v>
      </c>
      <c r="B7">
        <v>16</v>
      </c>
      <c r="C7">
        <v>2.2999999999999998</v>
      </c>
    </row>
    <row r="8" spans="1:4">
      <c r="A8" s="5">
        <v>45053</v>
      </c>
      <c r="B8">
        <v>19</v>
      </c>
      <c r="C8">
        <v>0</v>
      </c>
    </row>
    <row r="9" spans="1:4">
      <c r="A9" s="5">
        <v>45054</v>
      </c>
      <c r="B9">
        <v>16</v>
      </c>
      <c r="C9">
        <v>9.3000000000000007</v>
      </c>
    </row>
    <row r="10" spans="1:4">
      <c r="A10" s="5">
        <v>45055</v>
      </c>
      <c r="B10">
        <v>18</v>
      </c>
      <c r="C10">
        <v>10.199999999999999</v>
      </c>
    </row>
    <row r="11" spans="1:4">
      <c r="A11" s="5">
        <v>45056</v>
      </c>
      <c r="B11">
        <v>16</v>
      </c>
      <c r="C11">
        <v>3.2</v>
      </c>
    </row>
    <row r="12" spans="1:4">
      <c r="A12" s="5">
        <v>45057</v>
      </c>
      <c r="B12">
        <v>19</v>
      </c>
      <c r="C12">
        <v>0.4</v>
      </c>
    </row>
    <row r="13" spans="1:4">
      <c r="A13" s="5">
        <v>45058</v>
      </c>
      <c r="B13">
        <v>15</v>
      </c>
      <c r="C13">
        <v>0.1</v>
      </c>
    </row>
    <row r="14" spans="1:4">
      <c r="A14" s="5">
        <v>45059</v>
      </c>
      <c r="B14">
        <v>16</v>
      </c>
      <c r="C14">
        <v>0</v>
      </c>
    </row>
    <row r="15" spans="1:4">
      <c r="A15" s="5">
        <v>45060</v>
      </c>
      <c r="B15">
        <v>18.600000000000001</v>
      </c>
      <c r="C15">
        <v>0.7</v>
      </c>
    </row>
    <row r="16" spans="1:4">
      <c r="A16" s="5">
        <v>45061</v>
      </c>
      <c r="B16">
        <v>16</v>
      </c>
      <c r="C16">
        <v>0</v>
      </c>
    </row>
    <row r="17" spans="1:3">
      <c r="A17" s="5">
        <v>45062</v>
      </c>
      <c r="B17">
        <v>17</v>
      </c>
      <c r="C17">
        <v>0</v>
      </c>
    </row>
    <row r="18" spans="1:3">
      <c r="A18" s="5">
        <v>45063</v>
      </c>
      <c r="B18">
        <v>18</v>
      </c>
      <c r="C18">
        <v>0</v>
      </c>
    </row>
    <row r="19" spans="1:3">
      <c r="A19" s="5">
        <v>45064</v>
      </c>
      <c r="B19">
        <v>21</v>
      </c>
      <c r="C19">
        <v>0</v>
      </c>
    </row>
    <row r="20" spans="1:3">
      <c r="A20" s="5">
        <v>45065</v>
      </c>
      <c r="B20">
        <v>19</v>
      </c>
      <c r="C20">
        <v>2.2999999999999998</v>
      </c>
    </row>
    <row r="21" spans="1:3">
      <c r="A21" s="5">
        <v>45066</v>
      </c>
      <c r="B21">
        <v>19</v>
      </c>
      <c r="C21">
        <v>0</v>
      </c>
    </row>
    <row r="22" spans="1:3">
      <c r="A22" s="5">
        <v>45067</v>
      </c>
      <c r="B22">
        <v>20</v>
      </c>
      <c r="C22">
        <v>0</v>
      </c>
    </row>
    <row r="23" spans="1:3">
      <c r="A23" s="5">
        <v>45068</v>
      </c>
      <c r="B23">
        <v>21</v>
      </c>
      <c r="C23">
        <v>0</v>
      </c>
    </row>
    <row r="24" spans="1:3">
      <c r="A24" s="5">
        <v>45069</v>
      </c>
      <c r="B24">
        <v>19</v>
      </c>
      <c r="C24">
        <v>0</v>
      </c>
    </row>
    <row r="25" spans="1:3">
      <c r="A25" s="5">
        <v>45070</v>
      </c>
      <c r="B25">
        <v>21</v>
      </c>
      <c r="C25">
        <v>0</v>
      </c>
    </row>
    <row r="26" spans="1:3">
      <c r="A26" s="5">
        <v>45071</v>
      </c>
      <c r="B26">
        <v>21</v>
      </c>
      <c r="C26">
        <v>0</v>
      </c>
    </row>
    <row r="27" spans="1:3">
      <c r="A27" s="5">
        <v>45072</v>
      </c>
      <c r="B27">
        <v>20</v>
      </c>
      <c r="C27">
        <v>0</v>
      </c>
    </row>
    <row r="28" spans="1:3">
      <c r="A28" s="5">
        <v>45073</v>
      </c>
      <c r="B28">
        <v>21</v>
      </c>
      <c r="C28">
        <v>0</v>
      </c>
    </row>
    <row r="29" spans="1:3">
      <c r="A29" s="5">
        <v>45074</v>
      </c>
      <c r="B29">
        <v>22</v>
      </c>
      <c r="C29">
        <v>0</v>
      </c>
    </row>
    <row r="30" spans="1:3">
      <c r="A30" s="5">
        <v>45075</v>
      </c>
      <c r="B30">
        <v>18</v>
      </c>
      <c r="C30">
        <v>0</v>
      </c>
    </row>
    <row r="31" spans="1:3">
      <c r="A31" s="5">
        <v>45076</v>
      </c>
      <c r="B31">
        <v>18</v>
      </c>
      <c r="C31">
        <v>0</v>
      </c>
    </row>
    <row r="32" spans="1:3">
      <c r="A32" s="5">
        <v>45077</v>
      </c>
      <c r="B32">
        <v>15.2</v>
      </c>
      <c r="C32">
        <v>0</v>
      </c>
    </row>
    <row r="33" spans="1:3">
      <c r="A33" s="5">
        <v>45078</v>
      </c>
      <c r="B33">
        <v>18</v>
      </c>
      <c r="C33">
        <v>0</v>
      </c>
    </row>
    <row r="34" spans="1:3">
      <c r="A34" s="5">
        <v>45079</v>
      </c>
      <c r="B34">
        <v>19</v>
      </c>
      <c r="C34">
        <v>0</v>
      </c>
    </row>
    <row r="35" spans="1:3">
      <c r="A35" s="5">
        <v>45080</v>
      </c>
      <c r="B35">
        <v>22</v>
      </c>
      <c r="C35">
        <v>0</v>
      </c>
    </row>
    <row r="36" spans="1:3">
      <c r="A36" s="5">
        <v>45081</v>
      </c>
      <c r="B36">
        <v>21</v>
      </c>
      <c r="C36">
        <v>0</v>
      </c>
    </row>
    <row r="37" spans="1:3">
      <c r="A37" s="5">
        <v>45082</v>
      </c>
      <c r="B37">
        <v>18</v>
      </c>
      <c r="C37">
        <v>0</v>
      </c>
    </row>
    <row r="38" spans="1:3">
      <c r="A38" s="5">
        <v>45083</v>
      </c>
      <c r="B38">
        <v>16</v>
      </c>
      <c r="C38">
        <v>0</v>
      </c>
    </row>
    <row r="39" spans="1:3">
      <c r="A39" s="5">
        <v>45084</v>
      </c>
      <c r="B39">
        <v>21</v>
      </c>
      <c r="C39">
        <v>0</v>
      </c>
    </row>
    <row r="40" spans="1:3">
      <c r="A40" s="5">
        <v>45085</v>
      </c>
      <c r="B40">
        <v>22</v>
      </c>
      <c r="C40">
        <v>0</v>
      </c>
    </row>
    <row r="41" spans="1:3">
      <c r="A41" s="5">
        <v>45086</v>
      </c>
      <c r="B41">
        <v>25</v>
      </c>
      <c r="C41">
        <v>0</v>
      </c>
    </row>
    <row r="42" spans="1:3">
      <c r="A42" s="5">
        <v>45087</v>
      </c>
      <c r="B42">
        <v>29</v>
      </c>
      <c r="C42">
        <v>0.8</v>
      </c>
    </row>
    <row r="43" spans="1:3">
      <c r="A43" s="5">
        <v>45088</v>
      </c>
      <c r="B43">
        <v>24</v>
      </c>
      <c r="C43">
        <v>12.2</v>
      </c>
    </row>
    <row r="44" spans="1:3">
      <c r="A44" s="5">
        <v>45089</v>
      </c>
      <c r="B44">
        <v>28</v>
      </c>
      <c r="C44">
        <v>12.5</v>
      </c>
    </row>
    <row r="45" spans="1:3">
      <c r="A45" s="5">
        <v>45090</v>
      </c>
      <c r="B45">
        <v>29</v>
      </c>
      <c r="C45">
        <v>0</v>
      </c>
    </row>
    <row r="46" spans="1:3">
      <c r="A46" s="5">
        <v>45091</v>
      </c>
      <c r="B46">
        <v>27</v>
      </c>
      <c r="C46">
        <v>0</v>
      </c>
    </row>
    <row r="47" spans="1:3">
      <c r="A47" s="5">
        <v>45092</v>
      </c>
      <c r="B47">
        <v>27</v>
      </c>
      <c r="C47">
        <v>0</v>
      </c>
    </row>
    <row r="48" spans="1:3">
      <c r="A48" s="5">
        <v>45093</v>
      </c>
      <c r="B48">
        <v>27</v>
      </c>
      <c r="C48">
        <v>0</v>
      </c>
    </row>
    <row r="49" spans="1:3">
      <c r="A49" s="5">
        <v>45094</v>
      </c>
      <c r="B49">
        <v>26</v>
      </c>
      <c r="C49">
        <v>5.8</v>
      </c>
    </row>
    <row r="50" spans="1:3">
      <c r="A50" s="5">
        <v>45095</v>
      </c>
      <c r="B50">
        <v>24</v>
      </c>
      <c r="C50">
        <v>4.5999999999999996</v>
      </c>
    </row>
    <row r="51" spans="1:3">
      <c r="A51" s="5">
        <v>45096</v>
      </c>
      <c r="B51">
        <v>25</v>
      </c>
      <c r="C51">
        <v>0</v>
      </c>
    </row>
    <row r="52" spans="1:3">
      <c r="A52" s="5">
        <v>45097</v>
      </c>
      <c r="B52">
        <v>22</v>
      </c>
      <c r="C52">
        <v>12.2</v>
      </c>
    </row>
    <row r="53" spans="1:3">
      <c r="A53" s="5">
        <v>45098</v>
      </c>
      <c r="B53">
        <v>24</v>
      </c>
      <c r="C53">
        <v>0</v>
      </c>
    </row>
    <row r="54" spans="1:3">
      <c r="A54" s="5">
        <v>45099</v>
      </c>
      <c r="B54">
        <v>26</v>
      </c>
      <c r="C54">
        <v>0.1</v>
      </c>
    </row>
    <row r="55" spans="1:3">
      <c r="A55" s="5">
        <v>45100</v>
      </c>
      <c r="B55">
        <v>24</v>
      </c>
      <c r="C55">
        <v>0</v>
      </c>
    </row>
    <row r="56" spans="1:3">
      <c r="A56" s="5">
        <v>45101</v>
      </c>
      <c r="B56">
        <v>27</v>
      </c>
      <c r="C56">
        <v>0.2</v>
      </c>
    </row>
    <row r="57" spans="1:3">
      <c r="A57" s="5">
        <v>45102</v>
      </c>
      <c r="B57">
        <v>29</v>
      </c>
      <c r="C57">
        <v>0.7</v>
      </c>
    </row>
    <row r="58" spans="1:3">
      <c r="A58" s="5">
        <v>45103</v>
      </c>
      <c r="B58">
        <v>22</v>
      </c>
      <c r="C58">
        <v>0.1</v>
      </c>
    </row>
    <row r="59" spans="1:3">
      <c r="A59" s="5">
        <v>45104</v>
      </c>
      <c r="B59">
        <v>20</v>
      </c>
      <c r="C59">
        <v>0</v>
      </c>
    </row>
    <row r="60" spans="1:3">
      <c r="A60" s="5">
        <v>45105</v>
      </c>
      <c r="B60">
        <v>22</v>
      </c>
      <c r="C60">
        <v>0.3</v>
      </c>
    </row>
    <row r="61" spans="1:3">
      <c r="A61" s="5">
        <v>45106</v>
      </c>
      <c r="B61">
        <v>22</v>
      </c>
      <c r="C61">
        <v>0.8</v>
      </c>
    </row>
    <row r="62" spans="1:3">
      <c r="A62" s="5">
        <v>45107</v>
      </c>
      <c r="B62">
        <v>19</v>
      </c>
      <c r="C62">
        <v>1.1000000000000001</v>
      </c>
    </row>
    <row r="63" spans="1:3">
      <c r="A63" s="5">
        <v>45413</v>
      </c>
      <c r="B63">
        <v>17</v>
      </c>
      <c r="C63">
        <v>3.4</v>
      </c>
    </row>
    <row r="64" spans="1:3">
      <c r="A64" s="5">
        <v>45414</v>
      </c>
      <c r="B64">
        <v>15</v>
      </c>
      <c r="C64">
        <v>0.9</v>
      </c>
    </row>
    <row r="65" spans="1:3">
      <c r="A65" s="5">
        <v>45415</v>
      </c>
      <c r="B65">
        <v>12</v>
      </c>
      <c r="C65">
        <v>13.6</v>
      </c>
    </row>
    <row r="66" spans="1:3">
      <c r="A66" s="5">
        <v>45416</v>
      </c>
      <c r="B66">
        <v>18</v>
      </c>
      <c r="C66">
        <v>0</v>
      </c>
    </row>
    <row r="67" spans="1:3">
      <c r="A67" s="5">
        <v>45417</v>
      </c>
      <c r="B67">
        <v>17</v>
      </c>
      <c r="C67">
        <v>2.9</v>
      </c>
    </row>
    <row r="68" spans="1:3">
      <c r="A68" s="5">
        <v>45418</v>
      </c>
      <c r="B68">
        <v>18</v>
      </c>
      <c r="C68">
        <v>0.4</v>
      </c>
    </row>
    <row r="69" spans="1:3">
      <c r="A69" s="5">
        <v>45419</v>
      </c>
      <c r="B69">
        <v>20</v>
      </c>
      <c r="C69">
        <v>0</v>
      </c>
    </row>
    <row r="70" spans="1:3">
      <c r="A70" s="5">
        <v>45420</v>
      </c>
      <c r="B70">
        <v>21</v>
      </c>
      <c r="C70">
        <v>0.2</v>
      </c>
    </row>
    <row r="71" spans="1:3">
      <c r="A71" s="5">
        <v>45421</v>
      </c>
      <c r="B71">
        <v>23</v>
      </c>
      <c r="C71">
        <v>0</v>
      </c>
    </row>
    <row r="72" spans="1:3">
      <c r="A72" s="5">
        <v>45422</v>
      </c>
      <c r="B72">
        <v>24</v>
      </c>
      <c r="C72">
        <v>0</v>
      </c>
    </row>
    <row r="73" spans="1:3">
      <c r="A73" s="5">
        <v>45423</v>
      </c>
      <c r="B73">
        <v>23</v>
      </c>
      <c r="C73">
        <v>0</v>
      </c>
    </row>
    <row r="74" spans="1:3">
      <c r="A74" s="5">
        <v>45424</v>
      </c>
      <c r="B74">
        <v>26</v>
      </c>
      <c r="C74">
        <v>0.8</v>
      </c>
    </row>
    <row r="75" spans="1:3">
      <c r="A75" s="5">
        <v>45425</v>
      </c>
      <c r="B75">
        <v>18</v>
      </c>
      <c r="C75">
        <v>3.6</v>
      </c>
    </row>
    <row r="76" spans="1:3">
      <c r="A76" s="5">
        <v>45426</v>
      </c>
      <c r="B76">
        <v>18</v>
      </c>
      <c r="C76">
        <v>3.4</v>
      </c>
    </row>
    <row r="77" spans="1:3">
      <c r="A77" s="5">
        <v>45427</v>
      </c>
      <c r="B77">
        <v>20</v>
      </c>
      <c r="C77">
        <v>0</v>
      </c>
    </row>
    <row r="78" spans="1:3">
      <c r="A78" s="5">
        <v>45428</v>
      </c>
      <c r="B78">
        <v>19</v>
      </c>
      <c r="C78">
        <v>1.4</v>
      </c>
    </row>
    <row r="79" spans="1:3">
      <c r="A79" s="5">
        <v>45429</v>
      </c>
      <c r="B79">
        <v>21</v>
      </c>
      <c r="C79">
        <v>0</v>
      </c>
    </row>
    <row r="80" spans="1:3">
      <c r="A80" s="5">
        <v>45430</v>
      </c>
      <c r="B80">
        <v>21</v>
      </c>
      <c r="C80">
        <v>4.2</v>
      </c>
    </row>
    <row r="81" spans="1:3">
      <c r="A81" s="5">
        <v>45431</v>
      </c>
      <c r="B81">
        <v>22</v>
      </c>
      <c r="C81">
        <v>0</v>
      </c>
    </row>
    <row r="82" spans="1:3">
      <c r="A82" s="5">
        <v>45432</v>
      </c>
      <c r="B82">
        <v>20</v>
      </c>
      <c r="C82">
        <v>0</v>
      </c>
    </row>
    <row r="83" spans="1:3">
      <c r="A83" s="5">
        <v>45433</v>
      </c>
      <c r="B83">
        <v>16</v>
      </c>
      <c r="C83">
        <v>3.8</v>
      </c>
    </row>
    <row r="84" spans="1:3">
      <c r="A84" s="5">
        <v>45434</v>
      </c>
      <c r="B84">
        <v>16</v>
      </c>
      <c r="C84">
        <v>21.4</v>
      </c>
    </row>
    <row r="85" spans="1:3">
      <c r="A85" s="5">
        <v>45435</v>
      </c>
      <c r="B85">
        <v>15</v>
      </c>
      <c r="C85">
        <v>0.2</v>
      </c>
    </row>
    <row r="86" spans="1:3">
      <c r="A86" s="5">
        <v>45436</v>
      </c>
      <c r="B86">
        <v>16</v>
      </c>
      <c r="C86">
        <v>0</v>
      </c>
    </row>
    <row r="87" spans="1:3">
      <c r="A87" s="5">
        <v>45437</v>
      </c>
      <c r="B87">
        <v>20</v>
      </c>
      <c r="C87">
        <v>0.2</v>
      </c>
    </row>
    <row r="88" spans="1:3">
      <c r="A88" s="5">
        <v>45438</v>
      </c>
      <c r="B88">
        <v>19</v>
      </c>
      <c r="C88">
        <v>6.2</v>
      </c>
    </row>
    <row r="89" spans="1:3">
      <c r="A89" s="5">
        <v>45439</v>
      </c>
      <c r="B89">
        <v>17</v>
      </c>
      <c r="C89">
        <v>1.5</v>
      </c>
    </row>
    <row r="90" spans="1:3">
      <c r="A90" s="5">
        <v>45440</v>
      </c>
      <c r="B90">
        <v>18</v>
      </c>
      <c r="C90">
        <v>3.6</v>
      </c>
    </row>
    <row r="91" spans="1:3">
      <c r="A91" s="5">
        <v>45441</v>
      </c>
      <c r="B91">
        <v>18</v>
      </c>
      <c r="C91">
        <v>0.4</v>
      </c>
    </row>
    <row r="92" spans="1:3">
      <c r="A92" s="5">
        <v>45442</v>
      </c>
      <c r="B92">
        <v>19</v>
      </c>
      <c r="C92">
        <v>0.5</v>
      </c>
    </row>
    <row r="93" spans="1:3">
      <c r="A93" s="5">
        <v>45443</v>
      </c>
      <c r="B93">
        <v>17</v>
      </c>
      <c r="C93">
        <v>0.1</v>
      </c>
    </row>
    <row r="94" spans="1:3">
      <c r="A94" s="5">
        <v>45444</v>
      </c>
      <c r="B94">
        <v>18</v>
      </c>
      <c r="C94">
        <v>0</v>
      </c>
    </row>
    <row r="95" spans="1:3">
      <c r="A95" s="5">
        <v>45445</v>
      </c>
      <c r="B95">
        <v>24</v>
      </c>
      <c r="C95">
        <v>0</v>
      </c>
    </row>
    <row r="96" spans="1:3">
      <c r="A96" s="5">
        <v>45446</v>
      </c>
      <c r="B96">
        <v>21</v>
      </c>
      <c r="C96">
        <v>0</v>
      </c>
    </row>
    <row r="97" spans="1:3">
      <c r="A97" s="5">
        <v>45447</v>
      </c>
      <c r="B97">
        <v>17</v>
      </c>
      <c r="C97">
        <v>0.9</v>
      </c>
    </row>
    <row r="98" spans="1:3">
      <c r="A98" s="5">
        <v>45448</v>
      </c>
      <c r="B98">
        <v>16</v>
      </c>
      <c r="C98">
        <v>0</v>
      </c>
    </row>
    <row r="99" spans="1:3">
      <c r="A99" s="5">
        <v>45449</v>
      </c>
      <c r="B99">
        <v>19</v>
      </c>
      <c r="C99">
        <v>0.2</v>
      </c>
    </row>
    <row r="100" spans="1:3">
      <c r="A100" s="5">
        <v>45450</v>
      </c>
      <c r="B100">
        <v>19</v>
      </c>
      <c r="C100">
        <v>0.1</v>
      </c>
    </row>
    <row r="101" spans="1:3">
      <c r="A101" s="5">
        <v>45451</v>
      </c>
      <c r="B101">
        <v>19</v>
      </c>
      <c r="C101">
        <v>0.1</v>
      </c>
    </row>
    <row r="102" spans="1:3">
      <c r="A102" s="5">
        <v>45452</v>
      </c>
      <c r="B102">
        <v>16</v>
      </c>
      <c r="C102">
        <v>0</v>
      </c>
    </row>
    <row r="103" spans="1:3">
      <c r="A103" s="5">
        <v>45453</v>
      </c>
      <c r="B103">
        <v>17</v>
      </c>
      <c r="C103">
        <v>0.9</v>
      </c>
    </row>
    <row r="104" spans="1:3">
      <c r="A104" s="5">
        <v>45454</v>
      </c>
      <c r="B104">
        <v>16</v>
      </c>
      <c r="C104">
        <v>0.5</v>
      </c>
    </row>
    <row r="105" spans="1:3">
      <c r="A105" s="5">
        <v>45455</v>
      </c>
      <c r="B105">
        <v>17</v>
      </c>
      <c r="C105">
        <v>0</v>
      </c>
    </row>
    <row r="106" spans="1:3">
      <c r="A106" s="5">
        <v>45456</v>
      </c>
      <c r="B106">
        <v>15</v>
      </c>
      <c r="C106">
        <v>1.8</v>
      </c>
    </row>
    <row r="107" spans="1:3">
      <c r="A107" s="5">
        <v>45457</v>
      </c>
      <c r="B107">
        <v>18</v>
      </c>
      <c r="C107">
        <v>4.9000000000000004</v>
      </c>
    </row>
    <row r="108" spans="1:3">
      <c r="A108" s="5">
        <v>45458</v>
      </c>
      <c r="B108">
        <v>16</v>
      </c>
      <c r="C108">
        <v>3.7</v>
      </c>
    </row>
    <row r="109" spans="1:3">
      <c r="A109" s="5">
        <v>45459</v>
      </c>
      <c r="B109">
        <v>19</v>
      </c>
      <c r="C109">
        <v>2.9</v>
      </c>
    </row>
    <row r="110" spans="1:3">
      <c r="A110" s="5">
        <v>45460</v>
      </c>
      <c r="B110">
        <v>20</v>
      </c>
      <c r="C110">
        <v>0.5</v>
      </c>
    </row>
    <row r="111" spans="1:3">
      <c r="A111" s="5">
        <v>45461</v>
      </c>
      <c r="B111">
        <v>18</v>
      </c>
      <c r="C111">
        <v>0</v>
      </c>
    </row>
    <row r="112" spans="1:3">
      <c r="A112" s="5">
        <v>45462</v>
      </c>
      <c r="B112">
        <v>21</v>
      </c>
      <c r="C112">
        <v>0</v>
      </c>
    </row>
    <row r="113" spans="1:3">
      <c r="A113" s="5">
        <v>45463</v>
      </c>
      <c r="B113">
        <v>22</v>
      </c>
      <c r="C113">
        <v>0</v>
      </c>
    </row>
    <row r="114" spans="1:3">
      <c r="A114" s="5">
        <v>45464</v>
      </c>
      <c r="B114">
        <v>21</v>
      </c>
      <c r="C114">
        <v>0.5</v>
      </c>
    </row>
    <row r="115" spans="1:3">
      <c r="A115" s="5">
        <v>45465</v>
      </c>
      <c r="B115">
        <v>20</v>
      </c>
      <c r="C115">
        <v>0.1</v>
      </c>
    </row>
    <row r="116" spans="1:3">
      <c r="A116" s="5">
        <v>45466</v>
      </c>
      <c r="B116">
        <v>24</v>
      </c>
      <c r="C116">
        <v>0</v>
      </c>
    </row>
    <row r="117" spans="1:3">
      <c r="A117" s="5">
        <v>45467</v>
      </c>
      <c r="B117">
        <v>23</v>
      </c>
      <c r="C117">
        <v>0</v>
      </c>
    </row>
    <row r="118" spans="1:3">
      <c r="A118" s="5">
        <v>45468</v>
      </c>
      <c r="B118">
        <v>28</v>
      </c>
      <c r="C118">
        <v>0</v>
      </c>
    </row>
    <row r="119" spans="1:3">
      <c r="A119" s="5">
        <v>45469</v>
      </c>
      <c r="B119">
        <v>28</v>
      </c>
      <c r="C119">
        <v>0</v>
      </c>
    </row>
    <row r="120" spans="1:3">
      <c r="A120" s="5">
        <v>45470</v>
      </c>
      <c r="B120">
        <v>21</v>
      </c>
      <c r="C120">
        <v>0</v>
      </c>
    </row>
    <row r="121" spans="1:3">
      <c r="A121" s="5">
        <v>45471</v>
      </c>
      <c r="B121">
        <v>20</v>
      </c>
      <c r="C121">
        <v>0</v>
      </c>
    </row>
    <row r="122" spans="1:3">
      <c r="A122" s="5">
        <v>45472</v>
      </c>
      <c r="B122">
        <v>22</v>
      </c>
      <c r="C122">
        <v>0</v>
      </c>
    </row>
    <row r="123" spans="1:3">
      <c r="A123" s="5">
        <v>45473</v>
      </c>
      <c r="B123">
        <v>17.7</v>
      </c>
      <c r="C123">
        <v>0.5</v>
      </c>
    </row>
    <row r="124" spans="1:3">
      <c r="A124" s="5">
        <v>45778</v>
      </c>
      <c r="B124">
        <v>28</v>
      </c>
      <c r="C124">
        <v>0</v>
      </c>
    </row>
    <row r="125" spans="1:3">
      <c r="A125" s="5">
        <v>45779</v>
      </c>
      <c r="B125">
        <v>21</v>
      </c>
      <c r="C125">
        <v>0</v>
      </c>
    </row>
    <row r="126" spans="1:3">
      <c r="A126" s="5">
        <v>45780</v>
      </c>
      <c r="B126">
        <v>17</v>
      </c>
      <c r="C126">
        <v>0</v>
      </c>
    </row>
    <row r="127" spans="1:3">
      <c r="A127" s="5">
        <v>45781</v>
      </c>
      <c r="B127">
        <v>14</v>
      </c>
      <c r="C127">
        <v>0</v>
      </c>
    </row>
    <row r="128" spans="1:3">
      <c r="A128" s="5">
        <v>45782</v>
      </c>
      <c r="B128">
        <v>14</v>
      </c>
      <c r="C128">
        <v>0</v>
      </c>
    </row>
    <row r="129" spans="1:3">
      <c r="A129" s="5">
        <v>45783</v>
      </c>
      <c r="B129">
        <v>15</v>
      </c>
      <c r="C129">
        <v>0</v>
      </c>
    </row>
    <row r="130" spans="1:3">
      <c r="A130" s="5">
        <v>45784</v>
      </c>
      <c r="B130">
        <v>18</v>
      </c>
      <c r="C130">
        <v>0</v>
      </c>
    </row>
    <row r="131" spans="1:3">
      <c r="A131" s="5">
        <v>45785</v>
      </c>
      <c r="B131">
        <v>14</v>
      </c>
      <c r="C131">
        <v>0</v>
      </c>
    </row>
    <row r="132" spans="1:3">
      <c r="A132" s="5">
        <v>45786</v>
      </c>
      <c r="B132">
        <v>20</v>
      </c>
      <c r="C132">
        <v>0</v>
      </c>
    </row>
    <row r="133" spans="1:3">
      <c r="A133" s="5">
        <v>45787</v>
      </c>
      <c r="B133">
        <v>23</v>
      </c>
      <c r="C133">
        <v>0</v>
      </c>
    </row>
    <row r="134" spans="1:3">
      <c r="A134" s="5">
        <v>45788</v>
      </c>
      <c r="B134">
        <v>24</v>
      </c>
      <c r="C134">
        <v>1.5</v>
      </c>
    </row>
    <row r="135" spans="1:3">
      <c r="A135" s="5">
        <v>45789</v>
      </c>
      <c r="B135">
        <v>23</v>
      </c>
      <c r="C135">
        <v>0.7</v>
      </c>
    </row>
    <row r="136" spans="1:3">
      <c r="A136" s="5">
        <v>45790</v>
      </c>
      <c r="B136">
        <v>24</v>
      </c>
      <c r="C136">
        <v>0.1</v>
      </c>
    </row>
    <row r="137" spans="1:3">
      <c r="A137" s="5">
        <v>45791</v>
      </c>
      <c r="B137">
        <v>22</v>
      </c>
      <c r="C137">
        <v>0</v>
      </c>
    </row>
    <row r="138" spans="1:3">
      <c r="A138" s="5">
        <v>45792</v>
      </c>
      <c r="B138">
        <v>17</v>
      </c>
      <c r="C138">
        <v>0</v>
      </c>
    </row>
    <row r="139" spans="1:3">
      <c r="A139" s="5">
        <v>45793</v>
      </c>
      <c r="B139">
        <v>22</v>
      </c>
      <c r="C139">
        <v>0</v>
      </c>
    </row>
    <row r="140" spans="1:3">
      <c r="A140" s="5">
        <v>45794</v>
      </c>
      <c r="B140">
        <v>17</v>
      </c>
      <c r="C140">
        <v>0</v>
      </c>
    </row>
    <row r="141" spans="1:3">
      <c r="A141" s="5">
        <v>45795</v>
      </c>
      <c r="B141">
        <v>19</v>
      </c>
      <c r="C141">
        <v>0</v>
      </c>
    </row>
    <row r="142" spans="1:3">
      <c r="A142" s="5">
        <v>45796</v>
      </c>
      <c r="B142">
        <v>19</v>
      </c>
      <c r="C142">
        <v>0</v>
      </c>
    </row>
    <row r="143" spans="1:3">
      <c r="A143" s="5">
        <v>45797</v>
      </c>
      <c r="B143">
        <v>21</v>
      </c>
      <c r="C143">
        <v>1.2</v>
      </c>
    </row>
    <row r="144" spans="1:3">
      <c r="A144" s="5">
        <v>45798</v>
      </c>
      <c r="B144">
        <v>21</v>
      </c>
      <c r="C144">
        <v>3.8</v>
      </c>
    </row>
    <row r="145" spans="1:3">
      <c r="A145" s="5">
        <v>45799</v>
      </c>
      <c r="B145">
        <v>17</v>
      </c>
      <c r="C145">
        <v>0</v>
      </c>
    </row>
    <row r="146" spans="1:3">
      <c r="A146" s="5">
        <v>45800</v>
      </c>
      <c r="B146">
        <v>21</v>
      </c>
      <c r="C146">
        <v>0</v>
      </c>
    </row>
    <row r="147" spans="1:3">
      <c r="A147" s="5">
        <v>45801</v>
      </c>
      <c r="B147">
        <v>19</v>
      </c>
      <c r="C147">
        <v>1.7</v>
      </c>
    </row>
    <row r="148" spans="1:3">
      <c r="A148" s="5">
        <v>45802</v>
      </c>
      <c r="B148">
        <v>19</v>
      </c>
      <c r="C148">
        <v>0.4</v>
      </c>
    </row>
    <row r="149" spans="1:3">
      <c r="A149" s="5">
        <v>45803</v>
      </c>
      <c r="B149">
        <v>17</v>
      </c>
      <c r="C149">
        <v>0.6</v>
      </c>
    </row>
    <row r="150" spans="1:3">
      <c r="A150" s="5">
        <v>45804</v>
      </c>
      <c r="B150">
        <v>17</v>
      </c>
      <c r="C150">
        <v>6.1</v>
      </c>
    </row>
    <row r="151" spans="1:3">
      <c r="A151" s="5">
        <v>45805</v>
      </c>
      <c r="B151">
        <v>20</v>
      </c>
      <c r="C151">
        <v>1.9</v>
      </c>
    </row>
    <row r="152" spans="1:3">
      <c r="A152" s="5">
        <v>45806</v>
      </c>
      <c r="B152">
        <v>23</v>
      </c>
      <c r="C152">
        <v>0.4</v>
      </c>
    </row>
    <row r="153" spans="1:3">
      <c r="A153" s="5">
        <v>45807</v>
      </c>
      <c r="B153">
        <v>23</v>
      </c>
      <c r="C153">
        <v>0</v>
      </c>
    </row>
    <row r="154" spans="1:3">
      <c r="A154" s="5">
        <v>45808</v>
      </c>
      <c r="B154">
        <v>23</v>
      </c>
      <c r="C154">
        <v>0</v>
      </c>
    </row>
    <row r="155" spans="1:3">
      <c r="A155" s="5">
        <v>45809</v>
      </c>
      <c r="B155">
        <v>19</v>
      </c>
      <c r="C155">
        <v>0.2</v>
      </c>
    </row>
    <row r="156" spans="1:3">
      <c r="A156" s="5">
        <v>45810</v>
      </c>
      <c r="B156">
        <v>20</v>
      </c>
      <c r="C156">
        <v>0</v>
      </c>
    </row>
    <row r="157" spans="1:3">
      <c r="A157" s="5">
        <v>45811</v>
      </c>
      <c r="B157">
        <v>19</v>
      </c>
      <c r="C157">
        <v>4.5</v>
      </c>
    </row>
    <row r="158" spans="1:3">
      <c r="A158" s="5">
        <v>45812</v>
      </c>
      <c r="B158">
        <v>19</v>
      </c>
      <c r="C158">
        <v>0</v>
      </c>
    </row>
    <row r="159" spans="1:3">
      <c r="A159" s="5">
        <v>45813</v>
      </c>
      <c r="B159">
        <v>17</v>
      </c>
      <c r="C159">
        <v>3.5</v>
      </c>
    </row>
    <row r="160" spans="1:3">
      <c r="A160" s="5">
        <v>45814</v>
      </c>
      <c r="B160">
        <v>19</v>
      </c>
      <c r="C160">
        <v>0.3</v>
      </c>
    </row>
    <row r="161" spans="1:3">
      <c r="A161" s="5">
        <v>45815</v>
      </c>
      <c r="B161">
        <v>16</v>
      </c>
      <c r="C161">
        <v>16.2</v>
      </c>
    </row>
    <row r="162" spans="1:3">
      <c r="A162" s="5">
        <v>45816</v>
      </c>
      <c r="B162">
        <v>17</v>
      </c>
      <c r="C162">
        <v>0.5</v>
      </c>
    </row>
    <row r="163" spans="1:3">
      <c r="A163" s="5">
        <v>45817</v>
      </c>
      <c r="B163">
        <v>19</v>
      </c>
      <c r="C163">
        <v>0</v>
      </c>
    </row>
    <row r="164" spans="1:3">
      <c r="A164" s="5">
        <v>45818</v>
      </c>
      <c r="B164">
        <v>22</v>
      </c>
      <c r="C164">
        <v>0.3</v>
      </c>
    </row>
    <row r="165" spans="1:3">
      <c r="A165" s="5">
        <v>45819</v>
      </c>
      <c r="B165">
        <v>25</v>
      </c>
      <c r="C165">
        <v>0</v>
      </c>
    </row>
    <row r="166" spans="1:3">
      <c r="A166" s="5">
        <v>45820</v>
      </c>
      <c r="B166">
        <v>22</v>
      </c>
      <c r="C166">
        <v>5.7</v>
      </c>
    </row>
    <row r="167" spans="1:3">
      <c r="A167" s="5">
        <v>45821</v>
      </c>
      <c r="B167">
        <v>25</v>
      </c>
      <c r="C167">
        <v>3.7</v>
      </c>
    </row>
    <row r="168" spans="1:3">
      <c r="A168" s="5">
        <v>45822</v>
      </c>
      <c r="B168">
        <v>22</v>
      </c>
      <c r="C168">
        <v>1.2</v>
      </c>
    </row>
    <row r="169" spans="1:3">
      <c r="A169" s="5">
        <v>45823</v>
      </c>
      <c r="B169">
        <v>22</v>
      </c>
      <c r="C169">
        <v>0.4</v>
      </c>
    </row>
    <row r="170" spans="1:3">
      <c r="A170" s="5">
        <v>45824</v>
      </c>
      <c r="B170">
        <v>23</v>
      </c>
      <c r="C170">
        <v>0</v>
      </c>
    </row>
    <row r="171" spans="1:3">
      <c r="A171" s="5">
        <v>45825</v>
      </c>
      <c r="B171">
        <v>24</v>
      </c>
      <c r="C171">
        <v>0</v>
      </c>
    </row>
    <row r="172" spans="1:3">
      <c r="A172" s="5">
        <v>45826</v>
      </c>
      <c r="B172">
        <v>27</v>
      </c>
      <c r="C172">
        <v>0</v>
      </c>
    </row>
    <row r="173" spans="1:3">
      <c r="A173" s="5">
        <v>45827</v>
      </c>
      <c r="B173">
        <v>31</v>
      </c>
      <c r="C173">
        <v>0</v>
      </c>
    </row>
    <row r="174" spans="1:3">
      <c r="A174" s="5">
        <v>45828</v>
      </c>
      <c r="B174">
        <v>30</v>
      </c>
      <c r="C174">
        <v>0</v>
      </c>
    </row>
    <row r="175" spans="1:3">
      <c r="A175" s="5">
        <v>45829</v>
      </c>
      <c r="B175">
        <v>31</v>
      </c>
      <c r="C175">
        <v>1.2</v>
      </c>
    </row>
    <row r="176" spans="1:3">
      <c r="A176" s="5">
        <v>45830</v>
      </c>
      <c r="B176">
        <v>22</v>
      </c>
      <c r="C176">
        <v>0.7</v>
      </c>
    </row>
    <row r="177" spans="1:3">
      <c r="A177" s="5">
        <v>45831</v>
      </c>
      <c r="B177">
        <v>21</v>
      </c>
      <c r="C177">
        <v>0.9</v>
      </c>
    </row>
    <row r="178" spans="1:3">
      <c r="A178" s="5">
        <v>45832</v>
      </c>
      <c r="B178">
        <v>24</v>
      </c>
      <c r="C178">
        <v>0.8</v>
      </c>
    </row>
    <row r="179" spans="1:3">
      <c r="A179" s="5">
        <v>45833</v>
      </c>
      <c r="B179">
        <v>24</v>
      </c>
      <c r="C179">
        <v>0.2</v>
      </c>
    </row>
    <row r="180" spans="1:3">
      <c r="A180" s="5">
        <v>45834</v>
      </c>
      <c r="B180">
        <v>23</v>
      </c>
      <c r="C180">
        <v>1.3</v>
      </c>
    </row>
    <row r="181" spans="1:3">
      <c r="A181" s="5">
        <v>45835</v>
      </c>
      <c r="B181">
        <v>26</v>
      </c>
      <c r="C181">
        <v>2.1</v>
      </c>
    </row>
    <row r="182" spans="1:3">
      <c r="A182" s="5">
        <v>45836</v>
      </c>
      <c r="B182">
        <v>25</v>
      </c>
      <c r="C182">
        <v>0</v>
      </c>
    </row>
    <row r="183" spans="1:3">
      <c r="A183" s="5">
        <v>45837</v>
      </c>
      <c r="B183">
        <v>28</v>
      </c>
      <c r="C183">
        <v>0</v>
      </c>
    </row>
    <row r="184" spans="1:3">
      <c r="A184" s="5">
        <v>45838</v>
      </c>
      <c r="B184">
        <v>31</v>
      </c>
      <c r="C184">
        <v>0</v>
      </c>
    </row>
    <row r="185" spans="1:3">
      <c r="A185" s="5">
        <v>46143</v>
      </c>
      <c r="B185">
        <v>21</v>
      </c>
      <c r="C185">
        <v>3.3</v>
      </c>
    </row>
    <row r="186" spans="1:3">
      <c r="A186" s="5">
        <v>46144</v>
      </c>
      <c r="B186">
        <v>19</v>
      </c>
      <c r="C186">
        <v>1.8</v>
      </c>
    </row>
    <row r="187" spans="1:3">
      <c r="A187" s="5">
        <v>46145</v>
      </c>
      <c r="B187">
        <v>17.399999999999999</v>
      </c>
      <c r="C187">
        <v>2.9</v>
      </c>
    </row>
    <row r="188" spans="1:3">
      <c r="A188" s="5">
        <v>46146</v>
      </c>
      <c r="B188">
        <v>16</v>
      </c>
      <c r="C188">
        <v>1.9</v>
      </c>
    </row>
    <row r="189" spans="1:3">
      <c r="A189" s="5">
        <v>46147</v>
      </c>
      <c r="B189">
        <v>15</v>
      </c>
      <c r="C189">
        <v>0</v>
      </c>
    </row>
    <row r="190" spans="1:3">
      <c r="A190" s="5">
        <v>46148</v>
      </c>
      <c r="B190">
        <v>14</v>
      </c>
      <c r="C190">
        <v>0</v>
      </c>
    </row>
    <row r="191" spans="1:3">
      <c r="A191" s="5">
        <v>46149</v>
      </c>
      <c r="B191">
        <v>16</v>
      </c>
      <c r="C191">
        <v>1</v>
      </c>
    </row>
    <row r="192" spans="1:3">
      <c r="A192" s="5">
        <v>46150</v>
      </c>
      <c r="B192">
        <v>18</v>
      </c>
      <c r="C192">
        <v>3.8</v>
      </c>
    </row>
    <row r="193" spans="1:3">
      <c r="A193" s="5">
        <v>46151</v>
      </c>
      <c r="B193">
        <v>20</v>
      </c>
      <c r="C193">
        <v>0</v>
      </c>
    </row>
    <row r="194" spans="1:3">
      <c r="A194" s="5">
        <v>46152</v>
      </c>
      <c r="B194">
        <v>14</v>
      </c>
      <c r="C194">
        <v>0</v>
      </c>
    </row>
    <row r="195" spans="1:3">
      <c r="A195" s="5">
        <v>46153</v>
      </c>
      <c r="B195">
        <v>13</v>
      </c>
      <c r="C195">
        <v>0.5</v>
      </c>
    </row>
    <row r="196" spans="1:3">
      <c r="A196" s="5">
        <v>46154</v>
      </c>
      <c r="B196">
        <v>16</v>
      </c>
      <c r="C196">
        <v>0.1</v>
      </c>
    </row>
    <row r="197" spans="1:3">
      <c r="A197" s="5">
        <v>46155</v>
      </c>
      <c r="B197">
        <v>13</v>
      </c>
      <c r="C197">
        <v>1.4</v>
      </c>
    </row>
    <row r="198" spans="1:3">
      <c r="A198" s="5">
        <v>46156</v>
      </c>
      <c r="B198">
        <v>13</v>
      </c>
      <c r="C198">
        <v>2.8</v>
      </c>
    </row>
    <row r="199" spans="1:3">
      <c r="A199" s="5">
        <v>46157</v>
      </c>
      <c r="B199">
        <v>13</v>
      </c>
      <c r="C199">
        <v>0.1</v>
      </c>
    </row>
    <row r="200" spans="1:3">
      <c r="A200" s="5">
        <v>46158</v>
      </c>
      <c r="B200">
        <v>14</v>
      </c>
      <c r="C200">
        <v>2.2000000000000002</v>
      </c>
    </row>
    <row r="201" spans="1:3">
      <c r="A201" s="5">
        <v>46159</v>
      </c>
      <c r="B201">
        <v>14</v>
      </c>
      <c r="C201">
        <v>0.6</v>
      </c>
    </row>
    <row r="202" spans="1:3">
      <c r="A202" s="5">
        <v>46160</v>
      </c>
      <c r="B202">
        <v>13</v>
      </c>
      <c r="C202">
        <v>5.3</v>
      </c>
    </row>
    <row r="203" spans="1:3">
      <c r="A203" s="5">
        <v>46161</v>
      </c>
      <c r="B203">
        <v>16</v>
      </c>
      <c r="C203">
        <v>7</v>
      </c>
    </row>
    <row r="204" spans="1:3">
      <c r="A204" s="5">
        <v>46162</v>
      </c>
      <c r="B204">
        <v>17</v>
      </c>
      <c r="C204">
        <v>0.8</v>
      </c>
    </row>
    <row r="205" spans="1:3">
      <c r="A205" s="5">
        <v>46163</v>
      </c>
      <c r="B205">
        <v>22</v>
      </c>
      <c r="C205">
        <v>0</v>
      </c>
    </row>
    <row r="206" spans="1:3">
      <c r="A206" s="5">
        <v>46164</v>
      </c>
      <c r="B206">
        <v>27</v>
      </c>
      <c r="C206">
        <v>0</v>
      </c>
    </row>
    <row r="207" spans="1:3">
      <c r="A207" s="5">
        <v>46165</v>
      </c>
      <c r="B207">
        <v>24</v>
      </c>
      <c r="C207">
        <v>0</v>
      </c>
    </row>
    <row r="208" spans="1:3">
      <c r="A208" s="5">
        <v>46166</v>
      </c>
      <c r="B208">
        <v>28</v>
      </c>
      <c r="C208">
        <v>0</v>
      </c>
    </row>
    <row r="209" spans="1:3">
      <c r="A209" s="5">
        <v>46167</v>
      </c>
      <c r="B209">
        <v>33</v>
      </c>
      <c r="C209">
        <v>0</v>
      </c>
    </row>
    <row r="210" spans="1:3">
      <c r="A210" s="5">
        <v>46168</v>
      </c>
      <c r="B210">
        <v>32</v>
      </c>
      <c r="C210">
        <v>0</v>
      </c>
    </row>
    <row r="211" spans="1:3">
      <c r="A211" s="5">
        <v>46169</v>
      </c>
      <c r="B211">
        <v>29</v>
      </c>
      <c r="C211">
        <v>4.5</v>
      </c>
    </row>
    <row r="212" spans="1:3">
      <c r="A212" s="5">
        <v>46170</v>
      </c>
      <c r="B212">
        <v>30</v>
      </c>
      <c r="C212">
        <v>0.5</v>
      </c>
    </row>
    <row r="213" spans="1:3">
      <c r="A213" s="5">
        <v>46171</v>
      </c>
      <c r="B213">
        <v>24</v>
      </c>
      <c r="C213">
        <v>0.3</v>
      </c>
    </row>
    <row r="214" spans="1:3">
      <c r="A214" s="5">
        <v>46172</v>
      </c>
      <c r="B214">
        <v>25</v>
      </c>
      <c r="C214">
        <v>0</v>
      </c>
    </row>
    <row r="215" spans="1:3">
      <c r="A215" s="5">
        <v>46173</v>
      </c>
      <c r="B215">
        <v>20</v>
      </c>
      <c r="C215">
        <v>0</v>
      </c>
    </row>
    <row r="216" spans="1:3">
      <c r="A216" s="5">
        <v>46174</v>
      </c>
      <c r="B216">
        <v>19</v>
      </c>
      <c r="C216">
        <v>5.3</v>
      </c>
    </row>
    <row r="217" spans="1:3">
      <c r="A217" s="5">
        <v>46175</v>
      </c>
      <c r="B217">
        <v>19</v>
      </c>
      <c r="C217">
        <v>7</v>
      </c>
    </row>
    <row r="218" spans="1:3">
      <c r="A218" s="5">
        <v>46176</v>
      </c>
      <c r="B218">
        <v>20</v>
      </c>
      <c r="C218">
        <v>2.6</v>
      </c>
    </row>
    <row r="219" spans="1:3">
      <c r="A219" s="5">
        <v>46177</v>
      </c>
      <c r="B219">
        <v>17.2</v>
      </c>
      <c r="C219">
        <v>2.2000000000000002</v>
      </c>
    </row>
    <row r="220" spans="1:3">
      <c r="A220" s="5">
        <v>46178</v>
      </c>
      <c r="B220">
        <v>16</v>
      </c>
      <c r="C220">
        <v>0</v>
      </c>
    </row>
    <row r="221" spans="1:3">
      <c r="A221" s="5">
        <v>46179</v>
      </c>
      <c r="B221">
        <v>18</v>
      </c>
      <c r="C221">
        <v>7.4</v>
      </c>
    </row>
    <row r="222" spans="1:3">
      <c r="A222" s="5">
        <v>46180</v>
      </c>
      <c r="B222">
        <v>19</v>
      </c>
      <c r="C222">
        <v>0.8</v>
      </c>
    </row>
    <row r="223" spans="1:3">
      <c r="A223" s="5">
        <v>46181</v>
      </c>
      <c r="B223">
        <v>19</v>
      </c>
      <c r="C223">
        <v>6.1</v>
      </c>
    </row>
    <row r="224" spans="1:3">
      <c r="A224" s="5">
        <v>46182</v>
      </c>
      <c r="B224">
        <v>17</v>
      </c>
      <c r="C224">
        <v>2.8</v>
      </c>
    </row>
    <row r="225" spans="1:3">
      <c r="A225" s="5">
        <v>46183</v>
      </c>
      <c r="B225">
        <v>17</v>
      </c>
      <c r="C225">
        <v>1.2</v>
      </c>
    </row>
    <row r="226" spans="1:3">
      <c r="A226" s="5">
        <v>46184</v>
      </c>
      <c r="B226">
        <v>18</v>
      </c>
      <c r="C226">
        <v>4.5</v>
      </c>
    </row>
    <row r="227" spans="1:3">
      <c r="A227" s="5">
        <v>46185</v>
      </c>
      <c r="B227">
        <v>21</v>
      </c>
      <c r="C227">
        <v>0.2</v>
      </c>
    </row>
    <row r="228" spans="1:3">
      <c r="A228" s="5">
        <v>46186</v>
      </c>
      <c r="B228">
        <v>20</v>
      </c>
      <c r="C228">
        <v>0</v>
      </c>
    </row>
    <row r="229" spans="1:3">
      <c r="A229" s="5">
        <v>46187</v>
      </c>
      <c r="B229">
        <v>19.8</v>
      </c>
      <c r="C229">
        <v>0</v>
      </c>
    </row>
    <row r="230" spans="1:3">
      <c r="A230" s="5">
        <v>46188</v>
      </c>
      <c r="B230">
        <v>24</v>
      </c>
      <c r="C230">
        <v>2.2999999999999998</v>
      </c>
    </row>
    <row r="231" spans="1:3">
      <c r="A231" s="5">
        <v>46189</v>
      </c>
      <c r="B231">
        <v>21</v>
      </c>
      <c r="C231">
        <v>0</v>
      </c>
    </row>
    <row r="232" spans="1:3">
      <c r="A232" s="5">
        <v>46190</v>
      </c>
      <c r="B232">
        <v>21</v>
      </c>
      <c r="C232">
        <v>2.2999999999999998</v>
      </c>
    </row>
    <row r="233" spans="1:3">
      <c r="A233" s="5">
        <v>46191</v>
      </c>
      <c r="B233">
        <v>24</v>
      </c>
      <c r="C233">
        <v>0</v>
      </c>
    </row>
    <row r="234" spans="1:3">
      <c r="A234" s="5">
        <v>46192</v>
      </c>
      <c r="B234">
        <v>25</v>
      </c>
      <c r="C234">
        <v>0</v>
      </c>
    </row>
    <row r="235" spans="1:3">
      <c r="A235" s="5">
        <v>46193</v>
      </c>
      <c r="B235">
        <v>24</v>
      </c>
      <c r="C235">
        <v>5.2</v>
      </c>
    </row>
    <row r="236" spans="1:3">
      <c r="A236" s="5">
        <v>46194</v>
      </c>
      <c r="B236">
        <v>28</v>
      </c>
      <c r="C236">
        <v>0</v>
      </c>
    </row>
    <row r="237" spans="1:3">
      <c r="A237" s="5">
        <v>46195</v>
      </c>
      <c r="B237">
        <v>29.8</v>
      </c>
      <c r="C237">
        <v>0</v>
      </c>
    </row>
    <row r="238" spans="1:3">
      <c r="A238" s="5">
        <v>46196</v>
      </c>
      <c r="B238">
        <v>34.700000000000003</v>
      </c>
      <c r="C238">
        <v>0</v>
      </c>
    </row>
    <row r="239" spans="1:3">
      <c r="A239" s="5">
        <v>46197</v>
      </c>
      <c r="B239">
        <v>35.299999999999997</v>
      </c>
      <c r="C239">
        <v>0</v>
      </c>
    </row>
    <row r="240" spans="1:3">
      <c r="A240" s="5">
        <v>46198</v>
      </c>
    </row>
    <row r="241" spans="1:1">
      <c r="A241" s="5">
        <v>46199</v>
      </c>
    </row>
    <row r="242" spans="1:1">
      <c r="A242" s="5">
        <v>46200</v>
      </c>
    </row>
    <row r="243" spans="1:1">
      <c r="A243" s="5">
        <v>46201</v>
      </c>
    </row>
    <row r="244" spans="1:1">
      <c r="A244" s="5">
        <v>46202</v>
      </c>
    </row>
    <row r="245" spans="1:1">
      <c r="A245" s="5">
        <v>46203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1823-0C93-4669-A651-F2A3005B9D67}">
  <dimension ref="A1:C41"/>
  <sheetViews>
    <sheetView topLeftCell="A21" workbookViewId="0">
      <selection activeCell="F29" sqref="F29"/>
    </sheetView>
  </sheetViews>
  <sheetFormatPr defaultRowHeight="14.4"/>
  <cols>
    <col min="1" max="1" width="28.33203125" bestFit="1" customWidth="1"/>
    <col min="2" max="2" width="30.5546875" bestFit="1" customWidth="1"/>
    <col min="3" max="3" width="33.33203125" bestFit="1" customWidth="1"/>
  </cols>
  <sheetData>
    <row r="1" spans="1:3">
      <c r="A1" s="9" t="s">
        <v>20</v>
      </c>
      <c r="B1" t="s">
        <v>22</v>
      </c>
      <c r="C1" t="s">
        <v>23</v>
      </c>
    </row>
    <row r="2" spans="1:3">
      <c r="A2" s="10" t="s">
        <v>19</v>
      </c>
      <c r="B2" s="7">
        <v>3671.9999999999995</v>
      </c>
      <c r="C2" s="7">
        <v>1360</v>
      </c>
    </row>
    <row r="3" spans="1:3">
      <c r="A3" s="10" t="s">
        <v>18</v>
      </c>
      <c r="B3" s="7">
        <v>9374.3999999999978</v>
      </c>
      <c r="C3" s="7">
        <v>3472</v>
      </c>
    </row>
    <row r="4" spans="1:3">
      <c r="A4" s="10" t="s">
        <v>16</v>
      </c>
      <c r="B4" s="7">
        <v>0</v>
      </c>
      <c r="C4" s="7">
        <v>0</v>
      </c>
    </row>
    <row r="5" spans="1:3">
      <c r="A5" s="10" t="s">
        <v>17</v>
      </c>
      <c r="B5" s="7">
        <v>367.2</v>
      </c>
      <c r="C5" s="7">
        <v>136</v>
      </c>
    </row>
    <row r="6" spans="1:3">
      <c r="A6" s="10" t="s">
        <v>21</v>
      </c>
      <c r="B6" s="7">
        <v>13413.599999999999</v>
      </c>
      <c r="C6" s="7">
        <v>4968</v>
      </c>
    </row>
    <row r="10" spans="1:3">
      <c r="A10" s="9" t="s">
        <v>20</v>
      </c>
      <c r="B10" t="s">
        <v>28</v>
      </c>
      <c r="C10" t="s">
        <v>29</v>
      </c>
    </row>
    <row r="11" spans="1:3">
      <c r="A11" s="10" t="s">
        <v>19</v>
      </c>
      <c r="B11" s="7">
        <v>524.57142857142856</v>
      </c>
      <c r="C11" s="7">
        <v>194.28571428571428</v>
      </c>
    </row>
    <row r="12" spans="1:3">
      <c r="A12" s="10" t="s">
        <v>18</v>
      </c>
      <c r="B12" s="7">
        <v>493.38947368421043</v>
      </c>
      <c r="C12" s="7">
        <v>182.73684210526315</v>
      </c>
    </row>
    <row r="13" spans="1:3">
      <c r="A13" s="10" t="s">
        <v>16</v>
      </c>
      <c r="B13" s="7">
        <v>0</v>
      </c>
      <c r="C13" s="7">
        <v>0</v>
      </c>
    </row>
    <row r="14" spans="1:3">
      <c r="A14" s="10" t="s">
        <v>17</v>
      </c>
      <c r="B14" s="7">
        <v>3.1930434782608694</v>
      </c>
      <c r="C14" s="7">
        <v>1.182608695652174</v>
      </c>
    </row>
    <row r="15" spans="1:3">
      <c r="A15" s="10" t="s">
        <v>21</v>
      </c>
      <c r="B15" s="7">
        <v>54.973770491803251</v>
      </c>
      <c r="C15" s="7">
        <v>20.360655737704917</v>
      </c>
    </row>
    <row r="19" spans="1:3">
      <c r="A19" s="15" t="s">
        <v>53</v>
      </c>
      <c r="B19" s="15" t="s">
        <v>54</v>
      </c>
      <c r="C19" s="15" t="s">
        <v>55</v>
      </c>
    </row>
    <row r="20" spans="1:3" ht="15.6">
      <c r="A20" s="16">
        <f>GETPIVOTDATA("Average of Beef_Financial_Loss_£",Calculations!$A$10,"Weather_Condition","Extreme Heat")+GETPIVOTDATA("Average of Pork_Financial_Loss_£",Calculations!$A$10,"Weather_Condition","Extreme Heat")</f>
        <v>718.85714285714289</v>
      </c>
      <c r="B20" s="17">
        <f>GETPIVOTDATA("Average of Beef_Financial_Loss_£",Calculations!$A$10,"Weather_Condition","Heavy Rain")+GETPIVOTDATA("Average of Pork_Financial_Loss_£",Calculations!$A$10,"Weather_Condition","Heavy Rain")</f>
        <v>676.12631578947355</v>
      </c>
      <c r="C20" s="18">
        <f>IFERROR(GETPIVOTDATA("Average of Beef_Financial_Loss_£",'Performance Dashboard'!$A$60,"Weather_Condition","Normal Weekday")+GETPIVOTDATA("Average of Pork_Financial_Loss_£",'Performance Dashboard'!$A$60,"Weather_Condition","Normal Weekday"), 0)</f>
        <v>0</v>
      </c>
    </row>
    <row r="24" spans="1:3">
      <c r="A24" t="s">
        <v>30</v>
      </c>
      <c r="B24" t="s">
        <v>31</v>
      </c>
      <c r="C24" t="s">
        <v>32</v>
      </c>
    </row>
    <row r="25" spans="1:3">
      <c r="A25" s="1" t="s">
        <v>33</v>
      </c>
      <c r="B25" s="12">
        <v>-0.85</v>
      </c>
      <c r="C25" s="1" t="s">
        <v>37</v>
      </c>
    </row>
    <row r="26" spans="1:3" ht="15">
      <c r="A26" s="1" t="s">
        <v>34</v>
      </c>
      <c r="B26" s="13">
        <v>2.4</v>
      </c>
      <c r="C26" s="1" t="s">
        <v>52</v>
      </c>
    </row>
    <row r="27" spans="1:3">
      <c r="A27" s="1" t="s">
        <v>35</v>
      </c>
      <c r="B27" s="12">
        <v>3.1</v>
      </c>
      <c r="C27" s="1" t="s">
        <v>38</v>
      </c>
    </row>
    <row r="28" spans="1:3">
      <c r="A28" s="1" t="s">
        <v>36</v>
      </c>
      <c r="B28" s="12">
        <v>4.5</v>
      </c>
      <c r="C28" s="1" t="s">
        <v>39</v>
      </c>
    </row>
    <row r="33" spans="1:3">
      <c r="A33" s="2" t="s">
        <v>40</v>
      </c>
      <c r="B33" s="19">
        <v>5032</v>
      </c>
    </row>
    <row r="34" spans="1:3">
      <c r="A34" s="2" t="s">
        <v>41</v>
      </c>
      <c r="B34" s="19">
        <f>B33 * 0.85</f>
        <v>4277.2</v>
      </c>
    </row>
    <row r="35" spans="1:3">
      <c r="A35" s="2" t="s">
        <v>42</v>
      </c>
      <c r="B35" s="19">
        <f>B33 * 0.15</f>
        <v>754.8</v>
      </c>
    </row>
    <row r="38" spans="1:3">
      <c r="A38" t="s">
        <v>45</v>
      </c>
      <c r="B38" t="s">
        <v>46</v>
      </c>
      <c r="C38" t="s">
        <v>47</v>
      </c>
    </row>
    <row r="39" spans="1:3">
      <c r="A39" s="1" t="s">
        <v>43</v>
      </c>
      <c r="B39" s="14">
        <f>B33</f>
        <v>5032</v>
      </c>
      <c r="C39" s="1" t="s">
        <v>49</v>
      </c>
    </row>
    <row r="40" spans="1:3">
      <c r="A40" s="1" t="s">
        <v>44</v>
      </c>
      <c r="B40" s="14">
        <f>B35</f>
        <v>754.8</v>
      </c>
      <c r="C40" s="1" t="s">
        <v>50</v>
      </c>
    </row>
    <row r="41" spans="1:3">
      <c r="A41" s="1" t="s">
        <v>48</v>
      </c>
      <c r="B41" s="14">
        <f>B34</f>
        <v>4277.2</v>
      </c>
      <c r="C41" s="1" t="s">
        <v>51</v>
      </c>
    </row>
  </sheetData>
  <pageMargins left="0.7" right="0.7" top="0.75" bottom="0.75" header="0.3" footer="0.3"/>
  <tableParts count="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A2B4E-0821-4FBA-AF8C-A44123B77421}">
  <dimension ref="A1:T55"/>
  <sheetViews>
    <sheetView tabSelected="1" topLeftCell="A7" zoomScale="85" zoomScaleNormal="85" workbookViewId="0">
      <selection activeCell="U16" sqref="U16"/>
    </sheetView>
  </sheetViews>
  <sheetFormatPr defaultRowHeight="14.4"/>
  <cols>
    <col min="1" max="1" width="15.21875" bestFit="1" customWidth="1"/>
    <col min="2" max="2" width="29.77734375" bestFit="1" customWidth="1"/>
    <col min="3" max="3" width="29.88671875" bestFit="1" customWidth="1"/>
  </cols>
  <sheetData>
    <row r="1" spans="1:20">
      <c r="A1" s="21"/>
      <c r="B1" s="20"/>
      <c r="C1" s="20"/>
      <c r="D1" s="20"/>
      <c r="E1" s="20"/>
      <c r="F1" s="20"/>
      <c r="G1" s="20"/>
      <c r="H1" s="20"/>
      <c r="I1" s="20"/>
      <c r="J1" s="20"/>
      <c r="K1" s="20"/>
      <c r="L1" s="20"/>
      <c r="M1" s="20"/>
      <c r="N1" s="20"/>
      <c r="O1" s="20"/>
      <c r="P1" s="20"/>
      <c r="Q1" s="20"/>
      <c r="R1" s="20"/>
      <c r="S1" s="20"/>
      <c r="T1" s="20"/>
    </row>
    <row r="2" spans="1:20">
      <c r="A2" s="20"/>
      <c r="B2" s="20"/>
      <c r="C2" s="20"/>
      <c r="D2" s="20"/>
      <c r="E2" s="20"/>
      <c r="F2" s="20"/>
      <c r="G2" s="20"/>
      <c r="H2" s="20"/>
      <c r="I2" s="20"/>
      <c r="J2" s="20"/>
      <c r="K2" s="20"/>
      <c r="L2" s="20"/>
      <c r="M2" s="20"/>
      <c r="N2" s="20"/>
      <c r="O2" s="20"/>
      <c r="P2" s="20"/>
      <c r="Q2" s="20"/>
      <c r="R2" s="20"/>
      <c r="S2" s="20"/>
      <c r="T2" s="20"/>
    </row>
    <row r="3" spans="1:20">
      <c r="A3" s="20"/>
      <c r="B3" s="20"/>
      <c r="C3" s="20"/>
      <c r="D3" s="20"/>
      <c r="E3" s="20"/>
      <c r="F3" s="20"/>
      <c r="G3" s="20"/>
      <c r="H3" s="20"/>
      <c r="I3" s="20"/>
      <c r="J3" s="20"/>
      <c r="K3" s="20"/>
      <c r="L3" s="20"/>
      <c r="M3" s="20"/>
      <c r="N3" s="20"/>
      <c r="O3" s="20"/>
      <c r="P3" s="20"/>
      <c r="Q3" s="20"/>
      <c r="R3" s="20"/>
      <c r="S3" s="20"/>
      <c r="T3" s="20"/>
    </row>
    <row r="4" spans="1:20">
      <c r="A4" s="20"/>
      <c r="B4" s="20"/>
      <c r="C4" s="20"/>
      <c r="D4" s="20"/>
      <c r="E4" s="20"/>
      <c r="F4" s="20"/>
      <c r="G4" s="20"/>
      <c r="H4" s="20"/>
      <c r="I4" s="20"/>
      <c r="J4" s="20"/>
      <c r="K4" s="20"/>
      <c r="L4" s="20"/>
      <c r="M4" s="20"/>
      <c r="N4" s="20"/>
      <c r="O4" s="20"/>
      <c r="P4" s="20"/>
      <c r="Q4" s="20"/>
      <c r="R4" s="20"/>
      <c r="S4" s="20"/>
      <c r="T4" s="20"/>
    </row>
    <row r="5" spans="1:20">
      <c r="A5" s="20"/>
      <c r="B5" s="20"/>
      <c r="C5" s="20"/>
      <c r="D5" s="20"/>
      <c r="E5" s="20"/>
      <c r="F5" s="20"/>
      <c r="G5" s="20"/>
      <c r="H5" s="20"/>
      <c r="I5" s="20"/>
      <c r="J5" s="20"/>
      <c r="K5" s="20"/>
      <c r="L5" s="20"/>
      <c r="M5" s="20"/>
      <c r="N5" s="20"/>
      <c r="O5" s="20"/>
      <c r="P5" s="20"/>
      <c r="Q5" s="20"/>
      <c r="R5" s="20"/>
      <c r="S5" s="20"/>
      <c r="T5" s="20"/>
    </row>
    <row r="6" spans="1:20">
      <c r="A6" s="39"/>
      <c r="B6" s="39"/>
      <c r="C6" s="39"/>
      <c r="D6" s="39"/>
      <c r="E6" s="39"/>
      <c r="F6" s="39"/>
      <c r="G6" s="39"/>
      <c r="H6" s="39"/>
      <c r="I6" s="39"/>
      <c r="J6" s="39"/>
      <c r="K6" s="39"/>
      <c r="L6" s="39"/>
      <c r="M6" s="39"/>
      <c r="N6" s="39"/>
      <c r="O6" s="39"/>
      <c r="P6" s="39"/>
      <c r="Q6" s="39"/>
      <c r="R6" s="39"/>
      <c r="S6" s="39"/>
      <c r="T6" s="39"/>
    </row>
    <row r="7" spans="1:20">
      <c r="A7" s="39"/>
      <c r="B7" s="39"/>
      <c r="C7" s="39"/>
      <c r="D7" s="39"/>
      <c r="E7" s="39"/>
      <c r="F7" s="39"/>
      <c r="G7" s="39"/>
      <c r="H7" s="39"/>
      <c r="I7" s="39"/>
      <c r="J7" s="39"/>
      <c r="K7" s="39"/>
      <c r="L7" s="39"/>
      <c r="M7" s="39"/>
      <c r="N7" s="39"/>
      <c r="O7" s="39"/>
      <c r="P7" s="39"/>
      <c r="Q7" s="39"/>
      <c r="R7" s="39"/>
      <c r="S7" s="39"/>
      <c r="T7" s="39"/>
    </row>
    <row r="8" spans="1:20">
      <c r="A8" s="39"/>
      <c r="B8" s="39"/>
      <c r="C8" s="39"/>
      <c r="D8" s="39"/>
      <c r="E8" s="39"/>
      <c r="F8" s="39"/>
      <c r="G8" s="39"/>
      <c r="H8" s="39"/>
      <c r="I8" s="39"/>
      <c r="J8" s="39"/>
      <c r="K8" s="39"/>
      <c r="L8" s="39"/>
      <c r="M8" s="39"/>
      <c r="N8" s="39"/>
      <c r="O8" s="39"/>
      <c r="P8" s="39"/>
      <c r="Q8" s="39"/>
      <c r="R8" s="39"/>
      <c r="S8" s="39"/>
      <c r="T8" s="39"/>
    </row>
    <row r="9" spans="1:20">
      <c r="A9" s="39"/>
      <c r="B9" s="39"/>
      <c r="C9" s="39"/>
      <c r="D9" s="39"/>
      <c r="E9" s="39"/>
      <c r="F9" s="39"/>
      <c r="G9" s="39"/>
      <c r="H9" s="39"/>
      <c r="I9" s="39"/>
      <c r="J9" s="39"/>
      <c r="K9" s="39"/>
      <c r="L9" s="39"/>
      <c r="M9" s="39"/>
      <c r="N9" s="39"/>
      <c r="O9" s="39"/>
      <c r="P9" s="39"/>
      <c r="Q9" s="39"/>
      <c r="R9" s="39"/>
      <c r="S9" s="39"/>
      <c r="T9" s="39"/>
    </row>
    <row r="10" spans="1:20">
      <c r="A10" s="39"/>
      <c r="B10" s="39"/>
      <c r="C10" s="39"/>
      <c r="D10" s="39"/>
      <c r="E10" s="39"/>
      <c r="F10" s="39"/>
      <c r="G10" s="39"/>
      <c r="H10" s="39"/>
      <c r="I10" s="39"/>
      <c r="J10" s="39"/>
      <c r="K10" s="39"/>
      <c r="L10" s="39"/>
      <c r="M10" s="39"/>
      <c r="N10" s="39"/>
      <c r="O10" s="39"/>
      <c r="P10" s="39"/>
      <c r="Q10" s="39"/>
      <c r="R10" s="39"/>
      <c r="S10" s="39"/>
      <c r="T10" s="39"/>
    </row>
    <row r="11" spans="1:20">
      <c r="A11" s="39"/>
      <c r="B11" s="39"/>
      <c r="C11" s="39"/>
      <c r="D11" s="39"/>
      <c r="E11" s="39"/>
      <c r="F11" s="39"/>
      <c r="G11" s="39"/>
      <c r="H11" s="39"/>
      <c r="I11" s="39"/>
      <c r="J11" s="39"/>
      <c r="K11" s="39"/>
      <c r="L11" s="39"/>
      <c r="M11" s="39"/>
      <c r="N11" s="39"/>
      <c r="O11" s="39"/>
      <c r="P11" s="39"/>
      <c r="Q11" s="39"/>
      <c r="R11" s="39"/>
      <c r="S11" s="39"/>
      <c r="T11" s="39"/>
    </row>
    <row r="12" spans="1:20">
      <c r="A12" s="39"/>
      <c r="B12" s="39"/>
      <c r="C12" s="39"/>
      <c r="D12" s="39"/>
      <c r="E12" s="39"/>
      <c r="F12" s="39"/>
      <c r="G12" s="39"/>
      <c r="H12" s="39"/>
      <c r="I12" s="39"/>
      <c r="J12" s="39"/>
      <c r="K12" s="39"/>
      <c r="L12" s="39"/>
      <c r="M12" s="39"/>
      <c r="N12" s="39"/>
      <c r="O12" s="39"/>
      <c r="P12" s="39"/>
      <c r="Q12" s="39"/>
      <c r="R12" s="39"/>
      <c r="S12" s="39"/>
      <c r="T12" s="39"/>
    </row>
    <row r="13" spans="1:20">
      <c r="A13" s="39"/>
      <c r="B13" s="39"/>
      <c r="C13" s="39"/>
      <c r="D13" s="39"/>
      <c r="E13" s="39"/>
      <c r="F13" s="39"/>
      <c r="G13" s="39"/>
      <c r="H13" s="39"/>
      <c r="I13" s="39"/>
      <c r="J13" s="39"/>
      <c r="K13" s="39"/>
      <c r="L13" s="39"/>
      <c r="M13" s="39"/>
      <c r="N13" s="39"/>
      <c r="O13" s="39"/>
      <c r="P13" s="39"/>
      <c r="Q13" s="39"/>
      <c r="R13" s="39"/>
      <c r="S13" s="39"/>
      <c r="T13" s="39"/>
    </row>
    <row r="14" spans="1:20">
      <c r="A14" s="39"/>
      <c r="B14" s="39"/>
      <c r="C14" s="39"/>
      <c r="D14" s="39"/>
      <c r="E14" s="39"/>
      <c r="F14" s="39"/>
      <c r="G14" s="39"/>
      <c r="H14" s="39"/>
      <c r="I14" s="39"/>
      <c r="J14" s="39"/>
      <c r="K14" s="39"/>
      <c r="L14" s="39"/>
      <c r="M14" s="39"/>
      <c r="N14" s="39"/>
      <c r="O14" s="39"/>
      <c r="P14" s="39"/>
      <c r="Q14" s="39"/>
      <c r="R14" s="39"/>
      <c r="S14" s="39"/>
      <c r="T14" s="39"/>
    </row>
    <row r="15" spans="1:20">
      <c r="A15" s="39"/>
      <c r="B15" s="39"/>
      <c r="C15" s="39"/>
      <c r="D15" s="39"/>
      <c r="E15" s="39"/>
      <c r="F15" s="39"/>
      <c r="G15" s="39"/>
      <c r="H15" s="39"/>
      <c r="I15" s="39"/>
      <c r="J15" s="39"/>
      <c r="K15" s="39"/>
      <c r="L15" s="39"/>
      <c r="M15" s="39"/>
      <c r="N15" s="39"/>
      <c r="O15" s="39"/>
      <c r="P15" s="39"/>
      <c r="Q15" s="39"/>
      <c r="R15" s="39"/>
      <c r="S15" s="39"/>
      <c r="T15" s="39"/>
    </row>
    <row r="16" spans="1:20">
      <c r="A16" s="39"/>
      <c r="B16" s="39"/>
      <c r="C16" s="39"/>
      <c r="D16" s="39"/>
      <c r="E16" s="39"/>
      <c r="F16" s="39"/>
      <c r="G16" s="39"/>
      <c r="H16" s="39"/>
      <c r="I16" s="39"/>
      <c r="J16" s="39"/>
      <c r="K16" s="39"/>
      <c r="L16" s="39"/>
      <c r="M16" s="39"/>
      <c r="N16" s="39"/>
      <c r="O16" s="39"/>
      <c r="P16" s="39"/>
      <c r="Q16" s="39"/>
      <c r="R16" s="39"/>
      <c r="S16" s="39"/>
      <c r="T16" s="39"/>
    </row>
    <row r="17" spans="1:20">
      <c r="A17" s="39"/>
      <c r="B17" s="39"/>
      <c r="C17" s="39"/>
      <c r="D17" s="39"/>
      <c r="E17" s="39"/>
      <c r="F17" s="39"/>
      <c r="G17" s="39"/>
      <c r="H17" s="39"/>
      <c r="I17" s="39"/>
      <c r="J17" s="39"/>
      <c r="K17" s="39"/>
      <c r="L17" s="39"/>
      <c r="M17" s="39"/>
      <c r="N17" s="39"/>
      <c r="O17" s="39"/>
      <c r="P17" s="39"/>
      <c r="Q17" s="39"/>
      <c r="R17" s="39"/>
      <c r="S17" s="39"/>
      <c r="T17" s="39"/>
    </row>
    <row r="18" spans="1:20">
      <c r="A18" s="39"/>
      <c r="B18" s="39"/>
      <c r="C18" s="39"/>
      <c r="D18" s="39"/>
      <c r="E18" s="39"/>
      <c r="F18" s="39"/>
      <c r="G18" s="39"/>
      <c r="H18" s="39"/>
      <c r="I18" s="39"/>
      <c r="J18" s="39"/>
      <c r="K18" s="39"/>
      <c r="L18" s="39"/>
      <c r="M18" s="39"/>
      <c r="N18" s="39"/>
      <c r="O18" s="39"/>
      <c r="P18" s="39"/>
      <c r="Q18" s="39"/>
      <c r="R18" s="39"/>
      <c r="S18" s="39"/>
      <c r="T18" s="39"/>
    </row>
    <row r="19" spans="1:20">
      <c r="A19" s="39"/>
      <c r="B19" s="39"/>
      <c r="C19" s="39"/>
      <c r="D19" s="39"/>
      <c r="E19" s="39"/>
      <c r="F19" s="39"/>
      <c r="G19" s="39"/>
      <c r="H19" s="39"/>
      <c r="I19" s="39"/>
      <c r="J19" s="39"/>
      <c r="K19" s="39"/>
      <c r="L19" s="39"/>
      <c r="M19" s="39"/>
      <c r="N19" s="39"/>
      <c r="O19" s="39"/>
      <c r="P19" s="39"/>
      <c r="Q19" s="39"/>
      <c r="R19" s="39"/>
      <c r="S19" s="39"/>
      <c r="T19" s="39"/>
    </row>
    <row r="20" spans="1:20">
      <c r="A20" s="39"/>
      <c r="B20" s="39"/>
      <c r="C20" s="39"/>
      <c r="D20" s="39"/>
      <c r="E20" s="39"/>
      <c r="F20" s="39"/>
      <c r="G20" s="39"/>
      <c r="H20" s="39"/>
      <c r="I20" s="39"/>
      <c r="J20" s="39"/>
      <c r="K20" s="39"/>
      <c r="L20" s="39"/>
      <c r="M20" s="39"/>
      <c r="N20" s="39"/>
      <c r="O20" s="39"/>
      <c r="P20" s="39"/>
      <c r="Q20" s="39"/>
      <c r="R20" s="39"/>
      <c r="S20" s="39"/>
      <c r="T20" s="39"/>
    </row>
    <row r="21" spans="1:20">
      <c r="A21" s="39"/>
      <c r="B21" s="39"/>
      <c r="C21" s="39"/>
      <c r="D21" s="39"/>
      <c r="E21" s="39"/>
      <c r="F21" s="39"/>
      <c r="G21" s="39"/>
      <c r="H21" s="39"/>
      <c r="I21" s="39"/>
      <c r="J21" s="39"/>
      <c r="K21" s="39"/>
      <c r="L21" s="39"/>
      <c r="M21" s="39"/>
      <c r="N21" s="39"/>
      <c r="O21" s="39"/>
      <c r="P21" s="39"/>
      <c r="Q21" s="39"/>
      <c r="R21" s="39"/>
      <c r="S21" s="39"/>
      <c r="T21" s="39"/>
    </row>
    <row r="22" spans="1:20">
      <c r="A22" s="39"/>
      <c r="B22" s="39"/>
      <c r="C22" s="39"/>
      <c r="D22" s="39"/>
      <c r="E22" s="39"/>
      <c r="F22" s="39"/>
      <c r="G22" s="39"/>
      <c r="H22" s="39"/>
      <c r="I22" s="39"/>
      <c r="J22" s="39"/>
      <c r="K22" s="39"/>
      <c r="L22" s="39"/>
      <c r="M22" s="39"/>
      <c r="N22" s="39"/>
      <c r="O22" s="39"/>
      <c r="P22" s="39"/>
      <c r="Q22" s="39"/>
      <c r="R22" s="39"/>
      <c r="S22" s="39"/>
      <c r="T22" s="39"/>
    </row>
    <row r="23" spans="1:20">
      <c r="A23" s="39"/>
      <c r="B23" s="39"/>
      <c r="C23" s="39"/>
      <c r="D23" s="39"/>
      <c r="E23" s="39"/>
      <c r="F23" s="39"/>
      <c r="G23" s="39"/>
      <c r="H23" s="39"/>
      <c r="I23" s="39"/>
      <c r="J23" s="39"/>
      <c r="K23" s="39"/>
      <c r="L23" s="39"/>
      <c r="M23" s="39"/>
      <c r="N23" s="39"/>
      <c r="O23" s="39"/>
      <c r="P23" s="39"/>
      <c r="Q23" s="39"/>
      <c r="R23" s="39"/>
      <c r="S23" s="39"/>
      <c r="T23" s="39"/>
    </row>
    <row r="24" spans="1:20">
      <c r="A24" s="39"/>
      <c r="B24" s="39"/>
      <c r="C24" s="39"/>
      <c r="D24" s="39"/>
      <c r="E24" s="39"/>
      <c r="F24" s="39"/>
      <c r="G24" s="39"/>
      <c r="H24" s="39"/>
      <c r="I24" s="39"/>
      <c r="J24" s="39"/>
      <c r="K24" s="39"/>
      <c r="L24" s="39"/>
      <c r="M24" s="39"/>
      <c r="N24" s="39"/>
      <c r="O24" s="39"/>
      <c r="P24" s="39"/>
      <c r="Q24" s="39"/>
      <c r="R24" s="39"/>
      <c r="S24" s="39"/>
      <c r="T24" s="39"/>
    </row>
    <row r="25" spans="1:20">
      <c r="A25" s="39"/>
      <c r="B25" s="39"/>
      <c r="C25" s="39"/>
      <c r="D25" s="39"/>
      <c r="E25" s="39"/>
      <c r="F25" s="39"/>
      <c r="G25" s="39"/>
      <c r="H25" s="39"/>
      <c r="I25" s="39"/>
      <c r="J25" s="39"/>
      <c r="K25" s="39"/>
      <c r="L25" s="39"/>
      <c r="M25" s="39"/>
      <c r="N25" s="39"/>
      <c r="O25" s="39"/>
      <c r="P25" s="39"/>
      <c r="Q25" s="39"/>
      <c r="R25" s="39"/>
      <c r="S25" s="39"/>
      <c r="T25" s="39"/>
    </row>
    <row r="26" spans="1:20">
      <c r="A26" s="39"/>
      <c r="B26" s="39"/>
      <c r="C26" s="39"/>
      <c r="D26" s="39"/>
      <c r="E26" s="39"/>
      <c r="F26" s="39"/>
      <c r="G26" s="39"/>
      <c r="H26" s="39"/>
      <c r="I26" s="39"/>
      <c r="J26" s="39"/>
      <c r="K26" s="39"/>
      <c r="L26" s="39"/>
      <c r="M26" s="39"/>
      <c r="N26" s="39"/>
      <c r="O26" s="39"/>
      <c r="P26" s="39"/>
      <c r="Q26" s="39"/>
      <c r="R26" s="39"/>
      <c r="S26" s="39"/>
      <c r="T26" s="39"/>
    </row>
    <row r="27" spans="1:20">
      <c r="A27" s="39"/>
      <c r="B27" s="39"/>
      <c r="C27" s="39"/>
      <c r="D27" s="39"/>
      <c r="E27" s="39"/>
      <c r="F27" s="39"/>
      <c r="G27" s="39"/>
      <c r="H27" s="39"/>
      <c r="I27" s="39"/>
      <c r="J27" s="39"/>
      <c r="K27" s="39"/>
      <c r="L27" s="39"/>
      <c r="M27" s="39"/>
      <c r="N27" s="39"/>
      <c r="O27" s="39"/>
      <c r="P27" s="39"/>
      <c r="Q27" s="39"/>
      <c r="R27" s="39"/>
      <c r="S27" s="39"/>
      <c r="T27" s="39"/>
    </row>
    <row r="28" spans="1:20">
      <c r="A28" s="39"/>
      <c r="B28" s="39"/>
      <c r="C28" s="39"/>
      <c r="D28" s="39"/>
      <c r="E28" s="39"/>
      <c r="F28" s="39"/>
      <c r="G28" s="39"/>
      <c r="H28" s="39"/>
      <c r="I28" s="39"/>
      <c r="J28" s="39"/>
      <c r="K28" s="39"/>
      <c r="L28" s="39"/>
      <c r="M28" s="39"/>
      <c r="N28" s="39"/>
      <c r="O28" s="39"/>
      <c r="P28" s="39"/>
      <c r="Q28" s="39"/>
      <c r="R28" s="39"/>
      <c r="S28" s="39"/>
      <c r="T28" s="39"/>
    </row>
    <row r="29" spans="1:20">
      <c r="A29" s="39"/>
      <c r="B29" s="39"/>
      <c r="C29" s="39"/>
      <c r="D29" s="39"/>
      <c r="E29" s="39"/>
      <c r="F29" s="39"/>
      <c r="G29" s="39"/>
      <c r="H29" s="39"/>
      <c r="I29" s="39"/>
      <c r="J29" s="39"/>
      <c r="K29" s="39"/>
      <c r="L29" s="39"/>
      <c r="M29" s="39"/>
      <c r="N29" s="39"/>
      <c r="O29" s="39"/>
      <c r="P29" s="39"/>
      <c r="Q29" s="39"/>
      <c r="R29" s="39"/>
      <c r="S29" s="39"/>
      <c r="T29" s="39"/>
    </row>
    <row r="30" spans="1:20">
      <c r="A30" s="39"/>
      <c r="B30" s="39"/>
      <c r="C30" s="39"/>
      <c r="D30" s="39"/>
      <c r="E30" s="39"/>
      <c r="F30" s="39"/>
      <c r="G30" s="39"/>
      <c r="H30" s="39"/>
      <c r="I30" s="39"/>
      <c r="J30" s="39"/>
      <c r="K30" s="39"/>
      <c r="L30" s="39"/>
      <c r="M30" s="39"/>
      <c r="N30" s="39"/>
      <c r="O30" s="39"/>
      <c r="P30" s="39"/>
      <c r="Q30" s="39"/>
      <c r="R30" s="39"/>
      <c r="S30" s="39"/>
      <c r="T30" s="39"/>
    </row>
    <row r="31" spans="1:20">
      <c r="A31" s="39"/>
      <c r="B31" s="39"/>
      <c r="C31" s="39"/>
      <c r="D31" s="39"/>
      <c r="E31" s="39"/>
      <c r="F31" s="39"/>
      <c r="G31" s="39"/>
      <c r="H31" s="39"/>
      <c r="I31" s="39"/>
      <c r="J31" s="39"/>
      <c r="K31" s="39"/>
      <c r="L31" s="39"/>
      <c r="M31" s="39"/>
      <c r="N31" s="39"/>
      <c r="O31" s="39"/>
      <c r="P31" s="39"/>
      <c r="Q31" s="39"/>
      <c r="R31" s="39"/>
      <c r="S31" s="39"/>
      <c r="T31" s="39"/>
    </row>
    <row r="32" spans="1:20">
      <c r="A32" s="39"/>
      <c r="B32" s="39"/>
      <c r="C32" s="39"/>
      <c r="D32" s="39"/>
      <c r="E32" s="39"/>
      <c r="F32" s="39"/>
      <c r="G32" s="39"/>
      <c r="H32" s="39"/>
      <c r="I32" s="39"/>
      <c r="J32" s="39"/>
      <c r="K32" s="39"/>
      <c r="L32" s="39"/>
      <c r="M32" s="39"/>
      <c r="N32" s="39"/>
      <c r="O32" s="39"/>
      <c r="P32" s="39"/>
      <c r="Q32" s="39"/>
      <c r="R32" s="39"/>
      <c r="S32" s="39"/>
      <c r="T32" s="39"/>
    </row>
    <row r="33" spans="1:20">
      <c r="A33" s="39"/>
      <c r="B33" s="39"/>
      <c r="C33" s="39"/>
      <c r="D33" s="39"/>
      <c r="E33" s="39"/>
      <c r="F33" s="39"/>
      <c r="G33" s="39"/>
      <c r="H33" s="39"/>
      <c r="I33" s="39"/>
      <c r="J33" s="39"/>
      <c r="K33" s="39"/>
      <c r="L33" s="39"/>
      <c r="M33" s="39"/>
      <c r="N33" s="39"/>
      <c r="O33" s="39"/>
      <c r="P33" s="39"/>
      <c r="Q33" s="39"/>
      <c r="R33" s="39"/>
      <c r="S33" s="39"/>
      <c r="T33" s="39"/>
    </row>
    <row r="34" spans="1:20">
      <c r="A34" s="39"/>
      <c r="B34" s="39"/>
      <c r="C34" s="39"/>
      <c r="D34" s="39"/>
      <c r="E34" s="39"/>
      <c r="F34" s="39"/>
      <c r="G34" s="39"/>
      <c r="H34" s="39"/>
      <c r="I34" s="39"/>
      <c r="J34" s="39"/>
      <c r="K34" s="39"/>
      <c r="L34" s="39"/>
      <c r="M34" s="39"/>
      <c r="N34" s="39"/>
      <c r="O34" s="39"/>
      <c r="P34" s="39"/>
      <c r="Q34" s="39"/>
      <c r="R34" s="39"/>
      <c r="S34" s="39"/>
      <c r="T34" s="39"/>
    </row>
    <row r="35" spans="1:20">
      <c r="A35" s="39"/>
      <c r="B35" s="39"/>
      <c r="C35" s="39"/>
      <c r="D35" s="39"/>
      <c r="E35" s="39"/>
      <c r="F35" s="39"/>
      <c r="G35" s="39"/>
      <c r="H35" s="39"/>
      <c r="I35" s="39"/>
      <c r="J35" s="39"/>
      <c r="K35" s="39"/>
      <c r="L35" s="39"/>
      <c r="M35" s="39"/>
      <c r="N35" s="39"/>
      <c r="O35" s="39"/>
      <c r="P35" s="39"/>
      <c r="Q35" s="39"/>
      <c r="R35" s="39"/>
      <c r="S35" s="39"/>
      <c r="T35" s="39"/>
    </row>
    <row r="36" spans="1:20">
      <c r="A36" s="39"/>
      <c r="B36" s="39"/>
      <c r="C36" s="39"/>
      <c r="D36" s="39"/>
      <c r="E36" s="39"/>
      <c r="F36" s="39"/>
      <c r="G36" s="39"/>
      <c r="H36" s="39"/>
      <c r="I36" s="39"/>
      <c r="J36" s="39"/>
      <c r="K36" s="39"/>
      <c r="L36" s="39"/>
      <c r="M36" s="39"/>
      <c r="N36" s="39"/>
      <c r="O36" s="39"/>
      <c r="P36" s="39"/>
      <c r="Q36" s="39"/>
      <c r="R36" s="39"/>
      <c r="S36" s="39"/>
      <c r="T36" s="39"/>
    </row>
    <row r="37" spans="1:20">
      <c r="A37" s="39"/>
      <c r="B37" s="39"/>
      <c r="C37" s="39"/>
      <c r="D37" s="39"/>
      <c r="E37" s="39"/>
      <c r="F37" s="39"/>
      <c r="G37" s="39"/>
      <c r="H37" s="39"/>
      <c r="I37" s="39"/>
      <c r="J37" s="39"/>
      <c r="K37" s="39"/>
      <c r="L37" s="39"/>
      <c r="M37" s="39"/>
      <c r="N37" s="39"/>
      <c r="O37" s="39"/>
      <c r="P37" s="39"/>
      <c r="Q37" s="39"/>
      <c r="R37" s="39"/>
      <c r="S37" s="39"/>
      <c r="T37" s="39"/>
    </row>
    <row r="38" spans="1:20">
      <c r="A38" s="39"/>
      <c r="B38" s="39"/>
      <c r="C38" s="39"/>
      <c r="D38" s="39"/>
      <c r="E38" s="39"/>
      <c r="F38" s="39"/>
      <c r="G38" s="39"/>
      <c r="H38" s="39"/>
      <c r="I38" s="39"/>
      <c r="J38" s="39"/>
      <c r="K38" s="39"/>
      <c r="L38" s="39"/>
      <c r="M38" s="39"/>
      <c r="N38" s="39"/>
      <c r="O38" s="39"/>
      <c r="P38" s="39"/>
      <c r="Q38" s="39"/>
      <c r="R38" s="39"/>
      <c r="S38" s="39"/>
      <c r="T38" s="39"/>
    </row>
    <row r="39" spans="1:20">
      <c r="A39" s="39"/>
      <c r="B39" s="39"/>
      <c r="C39" s="39"/>
      <c r="D39" s="39"/>
      <c r="E39" s="39"/>
      <c r="F39" s="39"/>
      <c r="G39" s="39"/>
      <c r="H39" s="39"/>
      <c r="I39" s="39"/>
      <c r="J39" s="39"/>
      <c r="K39" s="39"/>
      <c r="L39" s="39"/>
      <c r="M39" s="39"/>
      <c r="N39" s="39"/>
      <c r="O39" s="39"/>
      <c r="P39" s="39"/>
      <c r="Q39" s="39"/>
      <c r="R39" s="39"/>
      <c r="S39" s="39"/>
      <c r="T39" s="39"/>
    </row>
    <row r="40" spans="1:20">
      <c r="A40" s="39"/>
      <c r="B40" s="39"/>
      <c r="C40" s="39"/>
      <c r="D40" s="39"/>
      <c r="E40" s="39"/>
      <c r="F40" s="39"/>
      <c r="G40" s="39"/>
      <c r="H40" s="39"/>
      <c r="I40" s="39"/>
      <c r="J40" s="39"/>
      <c r="K40" s="39"/>
      <c r="L40" s="39"/>
      <c r="M40" s="39"/>
      <c r="N40" s="39"/>
      <c r="O40" s="39"/>
      <c r="P40" s="39"/>
      <c r="Q40" s="39"/>
      <c r="R40" s="39"/>
      <c r="S40" s="39"/>
      <c r="T40" s="39"/>
    </row>
    <row r="55" spans="2:2">
      <c r="B55" s="11"/>
    </row>
  </sheetData>
  <phoneticPr fontId="5"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Change_Log</vt:lpstr>
      <vt:lpstr>Resource links</vt:lpstr>
      <vt:lpstr>Project clean data</vt:lpstr>
      <vt:lpstr>Weather_clean_data</vt:lpstr>
      <vt:lpstr>Calculations</vt:lpstr>
      <vt:lpstr>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vasyl</dc:creator>
  <cp:lastModifiedBy>Vasyl Honcharuk</cp:lastModifiedBy>
  <dcterms:created xsi:type="dcterms:W3CDTF">2015-06-05T18:17:20Z</dcterms:created>
  <dcterms:modified xsi:type="dcterms:W3CDTF">2026-07-06T17:22:06Z</dcterms:modified>
</cp:coreProperties>
</file>